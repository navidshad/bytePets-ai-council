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ts" sheetId="1" state="visible" r:id="rId3"/>
    <sheet name="How to fill" sheetId="2" state="visible" r:id="rId4"/>
  </sheets>
  <definedNames>
    <definedName function="false" hidden="true" localSheetId="0" name="_xlnm._FilterDatabase" vbProcedure="false">Vets!$A$1:$AC$48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<sst xmlns="http://schemas.openxmlformats.org/spreadsheetml/2006/main" count="563" uniqueCount="342">
  <si>
    <t xml:space="preserve">id</t>
  </si>
  <si>
    <t xml:space="preserve">clinic</t>
  </si>
  <si>
    <t xml:space="preserve">legal_name</t>
  </si>
  <si>
    <t xml:space="preserve">type</t>
  </si>
  <si>
    <t xml:space="preserve">address</t>
  </si>
  <si>
    <t xml:space="preserve">phone</t>
  </si>
  <si>
    <t xml:space="preserve">mon</t>
  </si>
  <si>
    <t xml:space="preserve">tue</t>
  </si>
  <si>
    <t xml:space="preserve">wed</t>
  </si>
  <si>
    <t xml:space="preserve">thu</t>
  </si>
  <si>
    <t xml:space="preserve">fri</t>
  </si>
  <si>
    <t xml:space="preserve">sat</t>
  </si>
  <si>
    <t xml:space="preserve">sun</t>
  </si>
  <si>
    <t xml:space="preserve">open_24h</t>
  </si>
  <si>
    <t xml:space="preserve">night_emergency</t>
  </si>
  <si>
    <t xml:space="preserve">emergency_note</t>
  </si>
  <si>
    <t xml:space="preserve">animals_treated</t>
  </si>
  <si>
    <t xml:space="preserve">checked_on</t>
  </si>
  <si>
    <t xml:space="preserve">checked_by</t>
  </si>
  <si>
    <t xml:space="preserve">call_status</t>
  </si>
  <si>
    <t xml:space="preserve">notes_from_call</t>
  </si>
  <si>
    <t xml:space="preserve">call_priority</t>
  </si>
  <si>
    <t xml:space="preserve">web_hint_unverified</t>
  </si>
  <si>
    <t xml:space="preserve">animals_hint_unverified</t>
  </si>
  <si>
    <t xml:space="preserve">website</t>
  </si>
  <si>
    <t xml:space="preserve">source</t>
  </si>
  <si>
    <t xml:space="preserve">lat</t>
  </si>
  <si>
    <t xml:space="preserve">lng</t>
  </si>
  <si>
    <t xml:space="preserve">hours_source</t>
  </si>
  <si>
    <t xml:space="preserve">vmvt_01081f848b13982</t>
  </si>
  <si>
    <t xml:space="preserve">8 drambliai (Antakalnis)</t>
  </si>
  <si>
    <t xml:space="preserve">UAB "8 drambliai"</t>
  </si>
  <si>
    <t xml:space="preserve">vet_clinic</t>
  </si>
  <si>
    <t xml:space="preserve">Nemenčinės pl. 4C-104, Vilnius</t>
  </si>
  <si>
    <t xml:space="preserve">+37068617226</t>
  </si>
  <si>
    <t xml:space="preserve">08:00-24:00</t>
  </si>
  <si>
    <t xml:space="preserve">no</t>
  </si>
  <si>
    <t xml:space="preserve">to call</t>
  </si>
  <si>
    <t xml:space="preserve">Website: daily 08:00-24:00; shared phone +370 612 88788 (seen 2026-10-10, not checked by phone)</t>
  </si>
  <si>
    <t xml:space="preserve">Website mentions exotic pets; not a full list</t>
  </si>
  <si>
    <t xml:space="preserve">8drambliai.lt</t>
  </si>
  <si>
    <t xml:space="preserve">VMVT register (data.gov.lt 5258)</t>
  </si>
  <si>
    <t xml:space="preserve">website, read 2026-10-10 — not checked by phone</t>
  </si>
  <si>
    <t xml:space="preserve">man_002</t>
  </si>
  <si>
    <t xml:space="preserve">8 drambliai (Naujamiestis)</t>
  </si>
  <si>
    <t xml:space="preserve">Naugarduko g. 59, Vilnius</t>
  </si>
  <si>
    <t xml:space="preserve">+370 612 88788</t>
  </si>
  <si>
    <t xml:space="preserve">07:00-23:00</t>
  </si>
  <si>
    <t xml:space="preserve">Website: daily 07:00-23:00 (seen 2026-10-10, not checked by phone)</t>
  </si>
  <si>
    <t xml:space="preserve">Found on the web, not in the register extract</t>
  </si>
  <si>
    <t xml:space="preserve">man_001</t>
  </si>
  <si>
    <t xml:space="preserve">8 drambliai (Pavilnys) — Vilnius Referral Veterinary Hospital</t>
  </si>
  <si>
    <t xml:space="preserve">Tolimoji g. 2B, Vilnius</t>
  </si>
  <si>
    <t xml:space="preserve">00:00-24:00</t>
  </si>
  <si>
    <t xml:space="preserve">yes</t>
  </si>
  <si>
    <t xml:space="preserve">Website: emergency care 24/7</t>
  </si>
  <si>
    <t xml:space="preserve">Website: open 24 hours a day; emergency care 24/7 (seen 2026-10-10, not checked by phone)</t>
  </si>
  <si>
    <t xml:space="preserve">vmvt_e041ef18064be10</t>
  </si>
  <si>
    <t xml:space="preserve">Begemotas</t>
  </si>
  <si>
    <t xml:space="preserve">UAB "Veterinarinės medicinos centras Begemotas"</t>
  </si>
  <si>
    <t xml:space="preserve">Aukštaičių g. 5-178, Vilnius</t>
  </si>
  <si>
    <t xml:space="preserve">+37067970243</t>
  </si>
  <si>
    <t xml:space="preserve">08:00-22:00</t>
  </si>
  <si>
    <t xml:space="preserve">Website: emergency help every day (within opening hours, as far as stated)</t>
  </si>
  <si>
    <t xml:space="preserve">Website: Mon-Sun 08:00-22:00; emergency help every day; phone +370 677 95077 (seen 2026-10-10, not checked by phone)</t>
  </si>
  <si>
    <t xml:space="preserve">begevet.lt</t>
  </si>
  <si>
    <t xml:space="preserve">man_003</t>
  </si>
  <si>
    <t xml:space="preserve">8 drambliai (Pilaitė)</t>
  </si>
  <si>
    <t xml:space="preserve">M. Mažvydo g. 16, Vilnius</t>
  </si>
  <si>
    <t xml:space="preserve">08:00-21:00</t>
  </si>
  <si>
    <t xml:space="preserve">Website: daily 08:00-21:00 (seen 2026-10-10, not checked by phone)</t>
  </si>
  <si>
    <t xml:space="preserve">vmvt_e28bae07954cfe8</t>
  </si>
  <si>
    <t xml:space="preserve">Andriaus Petrašiūno privati veterinarijos įmonė</t>
  </si>
  <si>
    <t xml:space="preserve">Mindaugo g. 21-14, Vilnius</t>
  </si>
  <si>
    <t xml:space="preserve">+37068916300</t>
  </si>
  <si>
    <t xml:space="preserve">Registered as a service provider with a flat address: may be a visiting vet with no clinic. Ask.</t>
  </si>
  <si>
    <t xml:space="preserve">vmvt_2374abbabfd8815</t>
  </si>
  <si>
    <t xml:space="preserve">Antakalnio veterinarijos gydykla</t>
  </si>
  <si>
    <t xml:space="preserve">UAB "Antakalnio veterinarijos gydykla"</t>
  </si>
  <si>
    <t xml:space="preserve">Antakalnio g. 50, Vilnius</t>
  </si>
  <si>
    <t xml:space="preserve">+37052344522</t>
  </si>
  <si>
    <t xml:space="preserve">man_008</t>
  </si>
  <si>
    <t xml:space="preserve">BioPlanet veterinarijos klinika</t>
  </si>
  <si>
    <t xml:space="preserve">UAB "Fors Infinita"</t>
  </si>
  <si>
    <t xml:space="preserve">Žemynos g. 30, Vilnius</t>
  </si>
  <si>
    <t xml:space="preserve">+370 671 69828</t>
  </si>
  <si>
    <t xml:space="preserve">vmvt_935e326dfdc005b</t>
  </si>
  <si>
    <t xml:space="preserve">CanisFelis</t>
  </si>
  <si>
    <t xml:space="preserve">UAB "CanisFelis"</t>
  </si>
  <si>
    <t xml:space="preserve">S. Žukausko g. 32-63, Vilnius</t>
  </si>
  <si>
    <t xml:space="preserve">+37069333345</t>
  </si>
  <si>
    <t xml:space="preserve">vmvt_1326573dd973b35</t>
  </si>
  <si>
    <t xml:space="preserve">Gyvūnų odontologijos centras</t>
  </si>
  <si>
    <t xml:space="preserve">UAB "Gyvūnų odontologijos centras"</t>
  </si>
  <si>
    <t xml:space="preserve">Lvivo g. 21A, Vilnius</t>
  </si>
  <si>
    <t xml:space="preserve">+37063111175</t>
  </si>
  <si>
    <t xml:space="preserve">vmvt_31e69d51eaf6592</t>
  </si>
  <si>
    <t xml:space="preserve">Indrės veterinarijos gydykla</t>
  </si>
  <si>
    <t xml:space="preserve">VšĮ "Indrės veterinarijos gydykla"</t>
  </si>
  <si>
    <t xml:space="preserve">Žemynos g. 1, Vilnius</t>
  </si>
  <si>
    <t xml:space="preserve">+37052387533</t>
  </si>
  <si>
    <t xml:space="preserve">indresgydykla.lt</t>
  </si>
  <si>
    <t xml:space="preserve">vmvt_ebc574c05629836</t>
  </si>
  <si>
    <t xml:space="preserve">Justiniškių veterinarijos klinika</t>
  </si>
  <si>
    <t xml:space="preserve">UAB "Justiniškių veterinarijos klinika"</t>
  </si>
  <si>
    <t xml:space="preserve">Rygos g. 1, Vilnius</t>
  </si>
  <si>
    <t xml:space="preserve">+37052400337</t>
  </si>
  <si>
    <t xml:space="preserve">vmvt_398c2a335acad94</t>
  </si>
  <si>
    <t xml:space="preserve">Kaitas</t>
  </si>
  <si>
    <t xml:space="preserve">UAB "Kaitas"</t>
  </si>
  <si>
    <t xml:space="preserve">Liejyklos g. 5, Vilnius</t>
  </si>
  <si>
    <t xml:space="preserve">+37069961265</t>
  </si>
  <si>
    <t xml:space="preserve">vmvt_c22e87661c62056</t>
  </si>
  <si>
    <t xml:space="preserve">Keturios pėdutės</t>
  </si>
  <si>
    <t xml:space="preserve">UAB "Keturios pėdutės"</t>
  </si>
  <si>
    <t xml:space="preserve">Kedrų g. 7-101, Vilnius</t>
  </si>
  <si>
    <t xml:space="preserve">+37052137365</t>
  </si>
  <si>
    <t xml:space="preserve">vmvt_3dbd23f7641e407</t>
  </si>
  <si>
    <t xml:space="preserve">Lazdynėlių veterinarijos klinika</t>
  </si>
  <si>
    <t xml:space="preserve">UAB "Lazdynėlių veterinarijos klinika"</t>
  </si>
  <si>
    <t xml:space="preserve">Dangeručio g. 1, Vilnius</t>
  </si>
  <si>
    <t xml:space="preserve">+37060462224</t>
  </si>
  <si>
    <t xml:space="preserve">vmvt_ebef99b1f8dc701</t>
  </si>
  <si>
    <t xml:space="preserve">Lazdynų veterinarijos klinika</t>
  </si>
  <si>
    <t xml:space="preserve">UAB "Lazdynų veterinarijos klinika"</t>
  </si>
  <si>
    <t xml:space="preserve">+37069000027</t>
  </si>
  <si>
    <t xml:space="preserve">vmvt_a3b9be524f053de</t>
  </si>
  <si>
    <t xml:space="preserve">MBA Consulting</t>
  </si>
  <si>
    <t xml:space="preserve">UAB "MBA Consulting"</t>
  </si>
  <si>
    <t xml:space="preserve">V. Grybo g. 17-126, Vilnius</t>
  </si>
  <si>
    <t xml:space="preserve">+37061432059</t>
  </si>
  <si>
    <t xml:space="preserve">vmvt_4420c794df149b4</t>
  </si>
  <si>
    <t xml:space="preserve">Muza vet</t>
  </si>
  <si>
    <t xml:space="preserve">MB "Muza vet"</t>
  </si>
  <si>
    <t xml:space="preserve">P. Žadeikos g. 14-45, Vilnius</t>
  </si>
  <si>
    <t xml:space="preserve">+37068664018</t>
  </si>
  <si>
    <t xml:space="preserve">vmvt_f892481cd315d65</t>
  </si>
  <si>
    <t xml:space="preserve">Naujosios Vilnios veterinarijos gydykla ir vaistinė</t>
  </si>
  <si>
    <t xml:space="preserve">VšĮ "Naujosios Vilnios veterinarijos gydykla ir vaistinė"</t>
  </si>
  <si>
    <t xml:space="preserve">Parko g. 52-4, Vilnius</t>
  </si>
  <si>
    <t xml:space="preserve">+37052690922</t>
  </si>
  <si>
    <t xml:space="preserve">vmvt_8e4ea40c84380b7</t>
  </si>
  <si>
    <t xml:space="preserve">Pagalbos gyvūnams langelis</t>
  </si>
  <si>
    <t xml:space="preserve">VšĮ Pagalbos gyvūnams langelis</t>
  </si>
  <si>
    <t xml:space="preserve">J. Basanavičiaus g. 41, Vilnius</t>
  </si>
  <si>
    <t xml:space="preserve">+37065057888</t>
  </si>
  <si>
    <t xml:space="preserve">vmvt_0f4d74507d45288</t>
  </si>
  <si>
    <t xml:space="preserve">Pakolife</t>
  </si>
  <si>
    <t xml:space="preserve">MB "Pakolife"</t>
  </si>
  <si>
    <t xml:space="preserve">Knypavos g. 8R, Vilnius</t>
  </si>
  <si>
    <t xml:space="preserve">+37060110769</t>
  </si>
  <si>
    <t xml:space="preserve">man_007</t>
  </si>
  <si>
    <t xml:space="preserve">Partnervetas</t>
  </si>
  <si>
    <t xml:space="preserve">UAB "Partnervetas"</t>
  </si>
  <si>
    <t xml:space="preserve">V. Maciulevičiaus g. 51, Vilnius</t>
  </si>
  <si>
    <t xml:space="preserve">+370 5 203 4257</t>
  </si>
  <si>
    <t xml:space="preserve">vmvt_8672b831c6506a8</t>
  </si>
  <si>
    <t xml:space="preserve">Pet City klinika</t>
  </si>
  <si>
    <t xml:space="preserve">UAB "Pet City klinika"</t>
  </si>
  <si>
    <t xml:space="preserve">Vikingų g. 3, Vilnius</t>
  </si>
  <si>
    <t xml:space="preserve">+37061461565</t>
  </si>
  <si>
    <t xml:space="preserve">vmvt_0f8a53f8cad9ed9</t>
  </si>
  <si>
    <t xml:space="preserve">Rekso gydykla</t>
  </si>
  <si>
    <t xml:space="preserve">UAB "Ex toto"</t>
  </si>
  <si>
    <t xml:space="preserve">Paupio g. 14-9, Vilnius</t>
  </si>
  <si>
    <t xml:space="preserve">+37052307094</t>
  </si>
  <si>
    <t xml:space="preserve">Website gives a different address: Papilėnų g. 3 (Pilaitė). Register address may be the legal one. Visits by registration only (seen 2026-10-10, not checked by phone)</t>
  </si>
  <si>
    <t xml:space="preserve">Website: dogs, cats, rabbits, rats, hamsters, guinea pigs, pet birds, ferrets</t>
  </si>
  <si>
    <t xml:space="preserve">veterinarija.eu</t>
  </si>
  <si>
    <t xml:space="preserve">vmvt_3a84bc0fe897a8f</t>
  </si>
  <si>
    <t xml:space="preserve">Ritos Žilinskienės IĮ</t>
  </si>
  <si>
    <t xml:space="preserve">Fabijoniškių g. 61, Vilnius</t>
  </si>
  <si>
    <t xml:space="preserve">+37068989355</t>
  </si>
  <si>
    <t xml:space="preserve">vmvt_d80749bff176162</t>
  </si>
  <si>
    <t xml:space="preserve">S. Žakšausko veterinarijos įmonė</t>
  </si>
  <si>
    <t xml:space="preserve">+37044155850</t>
  </si>
  <si>
    <t xml:space="preserve">vmvt_c21059547ed4f01</t>
  </si>
  <si>
    <t xml:space="preserve">Tarandės gyvūnų namai</t>
  </si>
  <si>
    <t xml:space="preserve">UAB "Tarandės gyvūnų namai"</t>
  </si>
  <si>
    <t xml:space="preserve">Pikutiškių g. 9, Vilnius</t>
  </si>
  <si>
    <t xml:space="preserve">+37060042545</t>
  </si>
  <si>
    <t xml:space="preserve">vmvt_011681e54a111c0</t>
  </si>
  <si>
    <t xml:space="preserve">Užupio veterinarijos klinika</t>
  </si>
  <si>
    <t xml:space="preserve">UAB "Vetvita"</t>
  </si>
  <si>
    <t xml:space="preserve">Subačiaus g. 6-27A, Vilnius</t>
  </si>
  <si>
    <t xml:space="preserve">+37069909321</t>
  </si>
  <si>
    <t xml:space="preserve">Directory gives a different address: Krivių g. 5, phone (0 650) 79009. Register address may be the legal one (seen 2026-10-10, not checked by phone)</t>
  </si>
  <si>
    <t xml:space="preserve">vmvt_f549cb6d0178178</t>
  </si>
  <si>
    <t xml:space="preserve">Valveta</t>
  </si>
  <si>
    <t xml:space="preserve">UAB "Valveta"</t>
  </si>
  <si>
    <t xml:space="preserve">P. Žadeikos g. 9-65, Vilnius</t>
  </si>
  <si>
    <t xml:space="preserve">+37052304530</t>
  </si>
  <si>
    <t xml:space="preserve">man_006</t>
  </si>
  <si>
    <t xml:space="preserve">Veta</t>
  </si>
  <si>
    <t xml:space="preserve">UAB "Veta"</t>
  </si>
  <si>
    <t xml:space="preserve">Kalvarijų g. 62, Vilnius</t>
  </si>
  <si>
    <t xml:space="preserve">+370 5 275 4196</t>
  </si>
  <si>
    <t xml:space="preserve">vmvt_cd27ff01f6d425a</t>
  </si>
  <si>
    <t xml:space="preserve">VetBalsas (same phone as UAB Edlana)</t>
  </si>
  <si>
    <t xml:space="preserve">UAB "Edlana"</t>
  </si>
  <si>
    <t xml:space="preserve">Stirnų g. 32-13, Vilnius</t>
  </si>
  <si>
    <t xml:space="preserve">+37052127868</t>
  </si>
  <si>
    <t xml:space="preserve">Directory gives a different address: Pylimo g. 33 (Senamiestis). Register address may be the legal one (seen 2026-10-10, not checked by phone)</t>
  </si>
  <si>
    <t xml:space="preserve">man_009</t>
  </si>
  <si>
    <t xml:space="preserve">Veterinarinė profilaktika</t>
  </si>
  <si>
    <t xml:space="preserve">IĮ "Veterinarinė profilaktika"</t>
  </si>
  <si>
    <t xml:space="preserve">Pavilnio Sodų 2-oji g. 22, Vilnius</t>
  </si>
  <si>
    <t xml:space="preserve">+370 657 47737</t>
  </si>
  <si>
    <t xml:space="preserve">vmvt_4328a2bf4f665c6</t>
  </si>
  <si>
    <t xml:space="preserve">Vetpulsas</t>
  </si>
  <si>
    <t xml:space="preserve">UAB "Vetpulsas"</t>
  </si>
  <si>
    <t xml:space="preserve">Rygos g. 39-33, Vilnius</t>
  </si>
  <si>
    <t xml:space="preserve">vmvt_9cac443a39de4a2</t>
  </si>
  <si>
    <t xml:space="preserve">Vilniaus kolegija</t>
  </si>
  <si>
    <t xml:space="preserve">Saltoniškių g. 58-1, Vilnius</t>
  </si>
  <si>
    <t xml:space="preserve">+37052191617</t>
  </si>
  <si>
    <t xml:space="preserve">vmvt_10808a362695686</t>
  </si>
  <si>
    <t xml:space="preserve">Vilniaus veterinarijos gydykla</t>
  </si>
  <si>
    <t xml:space="preserve">UAB "Vilniaus veterinarijos gydykla"</t>
  </si>
  <si>
    <t xml:space="preserve">Siesikų g. 15, Vilnius</t>
  </si>
  <si>
    <t xml:space="preserve">+37052482966</t>
  </si>
  <si>
    <t xml:space="preserve">vmvt_5604542ba29412f</t>
  </si>
  <si>
    <t xml:space="preserve">Vilniaus veterinarijos klinikinė ligoninė</t>
  </si>
  <si>
    <t xml:space="preserve">UAB "Vilniaus veterinarijos klinikinė ligoninė"</t>
  </si>
  <si>
    <t xml:space="preserve">A. Kojelavičiaus g. 150A, Vilnius</t>
  </si>
  <si>
    <t xml:space="preserve">+37052672594</t>
  </si>
  <si>
    <t xml:space="preserve">Website: no registration needed; home visits; hours not stated (seen 2026-10-10, not checked by phone)</t>
  </si>
  <si>
    <t xml:space="preserve">Website: dogs, cats, hamsters, rats, reptiles, exotics, farm animals and horses</t>
  </si>
  <si>
    <t xml:space="preserve">veterinarijavilniuje.lt</t>
  </si>
  <si>
    <t xml:space="preserve">man_005</t>
  </si>
  <si>
    <t xml:space="preserve">VilniusVet (Filaretai)</t>
  </si>
  <si>
    <t xml:space="preserve">UAB "Žvėryno veterinarijos gydykla"</t>
  </si>
  <si>
    <t xml:space="preserve">Filaretų g. 35, Vilnius</t>
  </si>
  <si>
    <t xml:space="preserve">+370 5 215 4202</t>
  </si>
  <si>
    <t xml:space="preserve">Website lists emergency care; hours not stated (seen 2026-10-10, not checked by phone)</t>
  </si>
  <si>
    <t xml:space="preserve">vilniusvet.lt</t>
  </si>
  <si>
    <t xml:space="preserve">man_004</t>
  </si>
  <si>
    <t xml:space="preserve">VilniusVet (Pašilaičiai)</t>
  </si>
  <si>
    <t xml:space="preserve">Pašilaičių g. 1D, Vilnius</t>
  </si>
  <si>
    <t xml:space="preserve">+370 5 275 5659</t>
  </si>
  <si>
    <t xml:space="preserve">vmvt_35a249da217e15b</t>
  </si>
  <si>
    <t xml:space="preserve">Zookomfort</t>
  </si>
  <si>
    <t xml:space="preserve">UAB "Zookomfort"</t>
  </si>
  <si>
    <t xml:space="preserve">Prūsų g. 2, Vilnius</t>
  </si>
  <si>
    <t xml:space="preserve">+37052165112</t>
  </si>
  <si>
    <t xml:space="preserve">vmvt_c82c3660c8e98d4</t>
  </si>
  <si>
    <t xml:space="preserve">Zooveterinarijos centras TOTO</t>
  </si>
  <si>
    <t xml:space="preserve">UAB "Zooveterinarijos centras TOTO"</t>
  </si>
  <si>
    <t xml:space="preserve">Igno Šimulionio g. 5, Vilnius</t>
  </si>
  <si>
    <t xml:space="preserve">+37052402308</t>
  </si>
  <si>
    <t xml:space="preserve">vmvt_2bf92e4fc9f0527</t>
  </si>
  <si>
    <t xml:space="preserve">Jakovo veterinarijos centras</t>
  </si>
  <si>
    <t xml:space="preserve">UAB "Jakovo veterinarijos centras"</t>
  </si>
  <si>
    <t xml:space="preserve">vet_pharmacy</t>
  </si>
  <si>
    <t xml:space="preserve">Gerosios Vilties g. 1-7, Vilnius</t>
  </si>
  <si>
    <t xml:space="preserve">+37052105049</t>
  </si>
  <si>
    <t xml:space="preserve">Registered here as a pharmacy; ask if it is also a clinic</t>
  </si>
  <si>
    <t xml:space="preserve">vmvt_b0e0a71e7d16ec6</t>
  </si>
  <si>
    <t xml:space="preserve">Jeruzalės veterinarijos klinika / Dr.Vet</t>
  </si>
  <si>
    <t xml:space="preserve">UAB "Jeruzalės veterinarijos klinika"</t>
  </si>
  <si>
    <t xml:space="preserve">Jeruzalės g. 9, Vilnius</t>
  </si>
  <si>
    <t xml:space="preserve">+37052472555</t>
  </si>
  <si>
    <t xml:space="preserve">Directory lists the clinic at Jeruzalės g. 7, phone (0 652) 51003; Dr.Vet general phone +370 614 55 655. Registered here as a pharmacy (seen 2026-10-10, not checked by phone)</t>
  </si>
  <si>
    <t xml:space="preserve">Website: dogs, cats; mentions exotics</t>
  </si>
  <si>
    <t xml:space="preserve">drvet.lt</t>
  </si>
  <si>
    <t xml:space="preserve">vmvt_23f0de8ad94c04c</t>
  </si>
  <si>
    <t xml:space="preserve">VilniusVet (Žvėrynas)</t>
  </si>
  <si>
    <t xml:space="preserve">Kęstučio g. 54-1, Vilnius</t>
  </si>
  <si>
    <t xml:space="preserve">+37052154202</t>
  </si>
  <si>
    <t xml:space="preserve">Website: Kęstučio g. 54/1, tel +370 5 275 5035; lists emergency care, hours not stated. Registered here as a pharmacy, but it is also a clinic (seen 2026-10-10, not checked by phone)</t>
  </si>
  <si>
    <t xml:space="preserve">vmvt_fb7e0df0a4814d7</t>
  </si>
  <si>
    <t xml:space="preserve">Pet24</t>
  </si>
  <si>
    <t xml:space="preserve">UAB "Pet24"</t>
  </si>
  <si>
    <t xml:space="preserve">Laisvės pr. 3, Vilnius</t>
  </si>
  <si>
    <t xml:space="preserve">+37067114968</t>
  </si>
  <si>
    <t xml:space="preserve">vmvt_41b8eaa02fdc04f</t>
  </si>
  <si>
    <t xml:space="preserve">Vitpeta</t>
  </si>
  <si>
    <t xml:space="preserve">MB "Vitpeta"</t>
  </si>
  <si>
    <t xml:space="preserve">Oršos g. 5-43, Vilnius</t>
  </si>
  <si>
    <t xml:space="preserve">+37064345523</t>
  </si>
  <si>
    <t xml:space="preserve">vmvt_0d47a985905fc5e</t>
  </si>
  <si>
    <t xml:space="preserve">Zoobazė</t>
  </si>
  <si>
    <t xml:space="preserve">UAB "Zoobazė"</t>
  </si>
  <si>
    <t xml:space="preserve">+37068376776</t>
  </si>
  <si>
    <t xml:space="preserve">vmvt_ccc61bf7c0f5af8</t>
  </si>
  <si>
    <t xml:space="preserve">Šarfas</t>
  </si>
  <si>
    <t xml:space="preserve">MB "Šarfas"</t>
  </si>
  <si>
    <t xml:space="preserve">Balsių Sodų 1-oji g. 101, Vilnius</t>
  </si>
  <si>
    <t xml:space="preserve">+37068571408</t>
  </si>
  <si>
    <t xml:space="preserve">Vet hours by phone — task C2</t>
  </si>
  <si>
    <t xml:space="preserve">Draft columns. Agree them with Navid before calling; Track A imports this sheet (A2).</t>
  </si>
  <si>
    <t xml:space="preserve">Progress</t>
  </si>
  <si>
    <t xml:space="preserve">Rows in the sheet</t>
  </si>
  <si>
    <t xml:space="preserve">Rows with a checked_on date</t>
  </si>
  <si>
    <t xml:space="preserve">Rows still to check</t>
  </si>
  <si>
    <t xml:space="preserve">Done when</t>
  </si>
  <si>
    <t xml:space="preserve">Every row has a checked_on date and the sheet is shared with Navid.</t>
  </si>
  <si>
    <t xml:space="preserve">What to fill</t>
  </si>
  <si>
    <t xml:space="preserve">Yellow columns</t>
  </si>
  <si>
    <t xml:space="preserve">Fill these during the call. Everything else is pre-filled.</t>
  </si>
  <si>
    <t xml:space="preserve">mon … sun</t>
  </si>
  <si>
    <t xml:space="preserve">Opening hours for that day as HH:MM-HH:MM (24-hour clock), e.g. 09:00-19:00. Write closed if shut. Two shifts: 09:00-13:00;14:00-19:00. Open all day and night: 00:00-24:00.</t>
  </si>
  <si>
    <t xml:space="preserve">yes or no. yes only if the clinic takes patients all day and night, every day.</t>
  </si>
  <si>
    <t xml:space="preserve">yes or no. yes if it takes urgent cases after 21:00 or at night (walk-in or on call).</t>
  </si>
  <si>
    <t xml:space="preserve">How it works: walk-in or call first, on-call phone, extra night fee, holidays.</t>
  </si>
  <si>
    <t xml:space="preserve">Use these words, comma-separated: dogs, cats, rabbits, rodents, birds, reptiles, ferrets, exotics, farm, horses.</t>
  </si>
  <si>
    <t xml:space="preserve">The date you spoke to the clinic, as YYYY-MM-DD. Leave empty until someone at the clinic has confirmed the hours. A website is not a check.</t>
  </si>
  <si>
    <t xml:space="preserve">Your first name.</t>
  </si>
  <si>
    <t xml:space="preserve">to call / reached / no answer / closed down / wrong number.</t>
  </si>
  <si>
    <t xml:space="preserve">Anything else: holiday hours, correct address, a better phone number, specialists (e.g. cat specialist).</t>
  </si>
  <si>
    <t xml:space="preserve">clinic / address / phone</t>
  </si>
  <si>
    <t xml:space="preserve">Fix them if the clinic tells you something different. The register often holds the legal name and legal address, not the name on the door.</t>
  </si>
  <si>
    <t xml:space="preserve">1 = likely open late or at night, call first. 2 = clinics. 3 = pharmacies.</t>
  </si>
  <si>
    <t xml:space="preserve">What a website or directory said on 2026-10-10. Use it to ask a quick 'is this still right?'.</t>
  </si>
  <si>
    <t xml:space="preserve">Filled only where the hours were copied from the clinic's own website (5 rows). Those hours are not phone-checked: confirm them on the call, fix them if needed, then set checked_on and clear this cell.</t>
  </si>
  <si>
    <t xml:space="preserve">Call script</t>
  </si>
  <si>
    <t xml:space="preserve">Lithuanian</t>
  </si>
  <si>
    <t xml:space="preserve">Laba diena, skambinu iš „BytePets“ – kuriame Vilniaus gyvūnų augintojams skirtą žemėlapį ir norime parodyti teisingą jūsų klinikos darbo laiką. Ar galėtumėte patvirtinti, kokiomis valandomis dirbate kiekvieną savaitės dieną? Ar priimate skubius atvejus vakare ar naktį? Kokius gyvūnus gydote – tik šunis ir kates, ar ir graužikus, triušius, paukščius, egzotinius? Ar adresas ir šis telefono numeris teisingi? Ačiū!</t>
  </si>
  <si>
    <t xml:space="preserve">English</t>
  </si>
  <si>
    <t xml:space="preserve">Hello, I'm calling from BytePets. We are building a map for pet owners in Vilnius and want to show your clinic's correct opening hours. Could you confirm your hours for each day of the week? Do you take urgent cases in the evening or at night? Which animals do you treat: only dogs and cats, or also rodents, rabbits, birds, exotics? Are this address and phone number right? Thank you!</t>
  </si>
  <si>
    <t xml:space="preserve">Ask every clinic</t>
  </si>
  <si>
    <t xml:space="preserve">1) Hours Mon–Sun. 2) Night or emergency: yes/no, and how. 3) Animals treated. 4) Address and phone right? 5) Any holiday changes coming.</t>
  </si>
  <si>
    <t xml:space="preserve">Example of a filled row</t>
  </si>
  <si>
    <t xml:space="preserve">Pavyzdžio veterinarijos klinika (example, not a real clinic)</t>
  </si>
  <si>
    <t xml:space="preserve">mon … fri</t>
  </si>
  <si>
    <t xml:space="preserve">09:00-19:00</t>
  </si>
  <si>
    <t xml:space="preserve">10:00-15:00</t>
  </si>
  <si>
    <t xml:space="preserve">closed</t>
  </si>
  <si>
    <t xml:space="preserve">Refers night cases to a 24-hour clinic</t>
  </si>
  <si>
    <t xml:space="preserve">dogs, cats, rabbits, rodents</t>
  </si>
  <si>
    <t xml:space="preserve">2026-10-10</t>
  </si>
  <si>
    <t xml:space="preserve">Vineet</t>
  </si>
  <si>
    <t xml:space="preserve">reached</t>
  </si>
  <si>
    <t xml:space="preserve">Sources</t>
  </si>
  <si>
    <t xml:space="preserve">VMVT register</t>
  </si>
  <si>
    <t xml:space="preserve">data.gov.lt dataset 5258, table okis_subjektai/Subjektas, filtered to activity type containing 'eterinar' and addresses in Vilnius city municipality. Pulled 2026-10-10: 884 rows in Lithuania, 48 in Vilnius city, of which 40 are vet service premises, vet service providers or retail vet pharmacies. The 2 marked suspended in the register (UAB Sampas, UAB Greitoji žirafa) were removed, leaving 38. Licence CC BY 4.0. The register has no opening hours. Emails are left out on purpose.</t>
  </si>
  <si>
    <t xml:space="preserve">Left out of the register rows</t>
  </si>
  <si>
    <t xml:space="preserve">5 wholesalers, 1 manufacturer and 2 livestock collection operators: not places a pet owner visits.</t>
  </si>
  <si>
    <t xml:space="preserve">Web rows (man_…)</t>
  </si>
  <si>
    <t xml:space="preserve">Clinics seen on clinic websites or the medicina.lt directory on 2026-10-10 that are not in the register extract. The directory lists 82 companies for Vilnius; only its first page (16 clinics) was read, so more clinics are missing from this sheet. The address of 8 drambliai (Pavilnys), Tolimoji g. 2B, comes from the hospital page 8drambliai.lt/71.</t>
  </si>
  <si>
    <t xml:space="preserve">Web hints</t>
  </si>
  <si>
    <t xml:space="preserve">From 8drambliai.lt, begevet.lt, vilniusvet.lt, drvet.lt, veterinarijavilniuje.lt, veterinarija.eu and medicina.lt, read on 2026-10-10. Not checked by phone.</t>
  </si>
</sst>
</file>

<file path=xl/styles.xml><?xml version="1.0" encoding="utf-8"?>
<styleSheet xmlns="http://schemas.openxmlformats.org/spreadsheetml/2006/main">
  <numFmts count="3">
    <numFmt numFmtId="164" formatCode="General"/>
    <numFmt numFmtId="165" formatCode="@"/>
    <numFmt numFmtId="166" formatCode="yyyy\-mm\-dd"/>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b val="true"/>
      <sz val="11"/>
      <name val="Arial"/>
      <family val="0"/>
      <charset val="1"/>
    </font>
  </fonts>
  <fills count="5">
    <fill>
      <patternFill patternType="none"/>
    </fill>
    <fill>
      <patternFill patternType="gray125"/>
    </fill>
    <fill>
      <patternFill patternType="solid">
        <fgColor rgb="FF1F4E46"/>
        <bgColor rgb="FF003366"/>
      </patternFill>
    </fill>
    <fill>
      <patternFill patternType="solid">
        <fgColor rgb="FF5B6B73"/>
        <bgColor rgb="FF808080"/>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6" fontId="5" fillId="4"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46"/>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5B6B7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73"/>
      <rgbColor rgb="FF969696"/>
      <rgbColor rgb="FF003366"/>
      <rgbColor rgb="FF339966"/>
      <rgbColor rgb="FF003300"/>
      <rgbColor rgb="FF333300"/>
      <rgbColor rgb="FF993300"/>
      <rgbColor rgb="FF993366"/>
      <rgbColor rgb="FF333399"/>
      <rgbColor rgb="FF1F4E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38"/>
    <col collapsed="false" customWidth="true" hidden="false" outlineLevel="0" max="4" min="4" style="0" width="13"/>
    <col collapsed="false" customWidth="true" hidden="false" outlineLevel="0" max="5" min="5" style="0" width="30"/>
    <col collapsed="false" customWidth="true" hidden="false" outlineLevel="0" max="6" min="6" style="0" width="16"/>
    <col collapsed="false" customWidth="true" hidden="false" outlineLevel="0" max="13" min="7" style="0" width="13"/>
    <col collapsed="false" customWidth="true" hidden="false" outlineLevel="0" max="14" min="14" style="0" width="10"/>
    <col collapsed="false" customWidth="true" hidden="false" outlineLevel="0" max="15" min="15" style="0" width="15"/>
    <col collapsed="false" customWidth="true" hidden="false" outlineLevel="0" max="16" min="16" style="0" width="28"/>
    <col collapsed="false" customWidth="true" hidden="false" outlineLevel="0" max="17" min="17" style="0" width="30"/>
    <col collapsed="false" customWidth="true" hidden="false" outlineLevel="0" max="20" min="18" style="0" width="12"/>
    <col collapsed="false" customWidth="true" hidden="false" outlineLevel="0" max="21" min="21" style="0" width="32"/>
    <col collapsed="false" customWidth="true" hidden="false" outlineLevel="0" max="22" min="22" style="0" width="9"/>
    <col collapsed="false" customWidth="true" hidden="false" outlineLevel="0" max="23" min="23" style="0" width="60"/>
    <col collapsed="false" customWidth="true" hidden="false" outlineLevel="0" max="24" min="24" style="0" width="40"/>
    <col collapsed="false" customWidth="true" hidden="false" outlineLevel="0" max="25" min="25" style="0" width="22"/>
    <col collapsed="false" customWidth="true" hidden="false" outlineLevel="0" max="26" min="26" style="0" width="36"/>
    <col collapsed="false" customWidth="true" hidden="false" outlineLevel="0" max="28" min="27" style="0" width="11"/>
    <col collapsed="false" customWidth="true" hidden="false" outlineLevel="0" max="29" min="29" style="0" width="44"/>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c r="Z1" s="2" t="s">
        <v>25</v>
      </c>
      <c r="AA1" s="2" t="s">
        <v>26</v>
      </c>
      <c r="AB1" s="2" t="s">
        <v>27</v>
      </c>
      <c r="AC1" s="2" t="s">
        <v>28</v>
      </c>
    </row>
    <row r="2" customFormat="false" ht="23.85" hidden="false" customHeight="false" outlineLevel="0" collapsed="false">
      <c r="A2" s="3" t="s">
        <v>29</v>
      </c>
      <c r="B2" s="3" t="s">
        <v>30</v>
      </c>
      <c r="C2" s="3" t="s">
        <v>31</v>
      </c>
      <c r="D2" s="3" t="s">
        <v>32</v>
      </c>
      <c r="E2" s="4" t="s">
        <v>33</v>
      </c>
      <c r="F2" s="5" t="s">
        <v>34</v>
      </c>
      <c r="G2" s="6" t="s">
        <v>35</v>
      </c>
      <c r="H2" s="6" t="s">
        <v>35</v>
      </c>
      <c r="I2" s="6" t="s">
        <v>35</v>
      </c>
      <c r="J2" s="6" t="s">
        <v>35</v>
      </c>
      <c r="K2" s="6" t="s">
        <v>35</v>
      </c>
      <c r="L2" s="6" t="s">
        <v>35</v>
      </c>
      <c r="M2" s="6" t="s">
        <v>35</v>
      </c>
      <c r="N2" s="6" t="s">
        <v>36</v>
      </c>
      <c r="O2" s="6"/>
      <c r="P2" s="7"/>
      <c r="Q2" s="7"/>
      <c r="R2" s="8"/>
      <c r="S2" s="6"/>
      <c r="T2" s="6" t="s">
        <v>37</v>
      </c>
      <c r="U2" s="7"/>
      <c r="V2" s="3" t="n">
        <v>1</v>
      </c>
      <c r="W2" s="4" t="s">
        <v>38</v>
      </c>
      <c r="X2" s="4" t="s">
        <v>39</v>
      </c>
      <c r="Y2" s="3" t="s">
        <v>40</v>
      </c>
      <c r="Z2" s="3" t="s">
        <v>41</v>
      </c>
      <c r="AA2" s="3" t="n">
        <v>54.724340578</v>
      </c>
      <c r="AB2" s="3" t="n">
        <v>25.320809154</v>
      </c>
      <c r="AC2" s="3" t="s">
        <v>42</v>
      </c>
    </row>
    <row r="3" customFormat="false" ht="15" hidden="false" customHeight="false" outlineLevel="0" collapsed="false">
      <c r="A3" s="3" t="s">
        <v>43</v>
      </c>
      <c r="B3" s="3" t="s">
        <v>44</v>
      </c>
      <c r="C3" s="3" t="s">
        <v>31</v>
      </c>
      <c r="D3" s="3" t="s">
        <v>32</v>
      </c>
      <c r="E3" s="4" t="s">
        <v>45</v>
      </c>
      <c r="F3" s="5" t="s">
        <v>46</v>
      </c>
      <c r="G3" s="6" t="s">
        <v>47</v>
      </c>
      <c r="H3" s="6" t="s">
        <v>47</v>
      </c>
      <c r="I3" s="6" t="s">
        <v>47</v>
      </c>
      <c r="J3" s="6" t="s">
        <v>47</v>
      </c>
      <c r="K3" s="6" t="s">
        <v>47</v>
      </c>
      <c r="L3" s="6" t="s">
        <v>47</v>
      </c>
      <c r="M3" s="6" t="s">
        <v>47</v>
      </c>
      <c r="N3" s="6" t="s">
        <v>36</v>
      </c>
      <c r="O3" s="6"/>
      <c r="P3" s="7"/>
      <c r="Q3" s="7"/>
      <c r="R3" s="8"/>
      <c r="S3" s="6"/>
      <c r="T3" s="6" t="s">
        <v>37</v>
      </c>
      <c r="U3" s="7"/>
      <c r="V3" s="3" t="n">
        <v>1</v>
      </c>
      <c r="W3" s="4" t="s">
        <v>48</v>
      </c>
      <c r="X3" s="4"/>
      <c r="Y3" s="3" t="s">
        <v>40</v>
      </c>
      <c r="Z3" s="3" t="s">
        <v>49</v>
      </c>
      <c r="AA3" s="3"/>
      <c r="AB3" s="3"/>
      <c r="AC3" s="3" t="s">
        <v>42</v>
      </c>
    </row>
    <row r="4" customFormat="false" ht="23.85" hidden="false" customHeight="false" outlineLevel="0" collapsed="false">
      <c r="A4" s="3" t="s">
        <v>50</v>
      </c>
      <c r="B4" s="3" t="s">
        <v>51</v>
      </c>
      <c r="C4" s="3" t="s">
        <v>31</v>
      </c>
      <c r="D4" s="3" t="s">
        <v>32</v>
      </c>
      <c r="E4" s="4" t="s">
        <v>52</v>
      </c>
      <c r="F4" s="5" t="s">
        <v>46</v>
      </c>
      <c r="G4" s="6" t="s">
        <v>53</v>
      </c>
      <c r="H4" s="6" t="s">
        <v>53</v>
      </c>
      <c r="I4" s="6" t="s">
        <v>53</v>
      </c>
      <c r="J4" s="6" t="s">
        <v>53</v>
      </c>
      <c r="K4" s="6" t="s">
        <v>53</v>
      </c>
      <c r="L4" s="6" t="s">
        <v>53</v>
      </c>
      <c r="M4" s="6" t="s">
        <v>53</v>
      </c>
      <c r="N4" s="6" t="s">
        <v>54</v>
      </c>
      <c r="O4" s="6" t="s">
        <v>54</v>
      </c>
      <c r="P4" s="7" t="s">
        <v>55</v>
      </c>
      <c r="Q4" s="7"/>
      <c r="R4" s="8"/>
      <c r="S4" s="6"/>
      <c r="T4" s="6" t="s">
        <v>37</v>
      </c>
      <c r="U4" s="7"/>
      <c r="V4" s="3" t="n">
        <v>1</v>
      </c>
      <c r="W4" s="4" t="s">
        <v>56</v>
      </c>
      <c r="X4" s="4"/>
      <c r="Y4" s="3" t="s">
        <v>40</v>
      </c>
      <c r="Z4" s="3" t="s">
        <v>49</v>
      </c>
      <c r="AA4" s="3"/>
      <c r="AB4" s="3"/>
      <c r="AC4" s="3" t="s">
        <v>42</v>
      </c>
    </row>
    <row r="5" customFormat="false" ht="35.05" hidden="false" customHeight="false" outlineLevel="0" collapsed="false">
      <c r="A5" s="3" t="s">
        <v>57</v>
      </c>
      <c r="B5" s="3" t="s">
        <v>58</v>
      </c>
      <c r="C5" s="3" t="s">
        <v>59</v>
      </c>
      <c r="D5" s="3" t="s">
        <v>32</v>
      </c>
      <c r="E5" s="4" t="s">
        <v>60</v>
      </c>
      <c r="F5" s="5" t="s">
        <v>61</v>
      </c>
      <c r="G5" s="6" t="s">
        <v>62</v>
      </c>
      <c r="H5" s="6" t="s">
        <v>62</v>
      </c>
      <c r="I5" s="6" t="s">
        <v>62</v>
      </c>
      <c r="J5" s="6" t="s">
        <v>62</v>
      </c>
      <c r="K5" s="6" t="s">
        <v>62</v>
      </c>
      <c r="L5" s="6" t="s">
        <v>62</v>
      </c>
      <c r="M5" s="6" t="s">
        <v>62</v>
      </c>
      <c r="N5" s="6" t="s">
        <v>36</v>
      </c>
      <c r="O5" s="6"/>
      <c r="P5" s="7" t="s">
        <v>63</v>
      </c>
      <c r="Q5" s="7"/>
      <c r="R5" s="8"/>
      <c r="S5" s="6"/>
      <c r="T5" s="6" t="s">
        <v>37</v>
      </c>
      <c r="U5" s="7"/>
      <c r="V5" s="3" t="n">
        <v>1</v>
      </c>
      <c r="W5" s="4" t="s">
        <v>64</v>
      </c>
      <c r="X5" s="4"/>
      <c r="Y5" s="3" t="s">
        <v>65</v>
      </c>
      <c r="Z5" s="3" t="s">
        <v>41</v>
      </c>
      <c r="AA5" s="3" t="n">
        <v>54.679031784</v>
      </c>
      <c r="AB5" s="3" t="n">
        <v>25.300232686</v>
      </c>
      <c r="AC5" s="3" t="s">
        <v>42</v>
      </c>
    </row>
    <row r="6" customFormat="false" ht="15" hidden="false" customHeight="false" outlineLevel="0" collapsed="false">
      <c r="A6" s="3" t="s">
        <v>66</v>
      </c>
      <c r="B6" s="3" t="s">
        <v>67</v>
      </c>
      <c r="C6" s="3" t="s">
        <v>31</v>
      </c>
      <c r="D6" s="3" t="s">
        <v>32</v>
      </c>
      <c r="E6" s="4" t="s">
        <v>68</v>
      </c>
      <c r="F6" s="5" t="s">
        <v>46</v>
      </c>
      <c r="G6" s="6" t="s">
        <v>69</v>
      </c>
      <c r="H6" s="6" t="s">
        <v>69</v>
      </c>
      <c r="I6" s="6" t="s">
        <v>69</v>
      </c>
      <c r="J6" s="6" t="s">
        <v>69</v>
      </c>
      <c r="K6" s="6" t="s">
        <v>69</v>
      </c>
      <c r="L6" s="6" t="s">
        <v>69</v>
      </c>
      <c r="M6" s="6" t="s">
        <v>69</v>
      </c>
      <c r="N6" s="6" t="s">
        <v>36</v>
      </c>
      <c r="O6" s="6"/>
      <c r="P6" s="7"/>
      <c r="Q6" s="7"/>
      <c r="R6" s="8"/>
      <c r="S6" s="6"/>
      <c r="T6" s="6" t="s">
        <v>37</v>
      </c>
      <c r="U6" s="7"/>
      <c r="V6" s="3" t="n">
        <v>2</v>
      </c>
      <c r="W6" s="4" t="s">
        <v>70</v>
      </c>
      <c r="X6" s="4"/>
      <c r="Y6" s="3" t="s">
        <v>40</v>
      </c>
      <c r="Z6" s="3" t="s">
        <v>49</v>
      </c>
      <c r="AA6" s="3"/>
      <c r="AB6" s="3"/>
      <c r="AC6" s="3" t="s">
        <v>42</v>
      </c>
    </row>
    <row r="7" customFormat="false" ht="23.85" hidden="false" customHeight="false" outlineLevel="0" collapsed="false">
      <c r="A7" s="3" t="s">
        <v>71</v>
      </c>
      <c r="B7" s="3" t="s">
        <v>72</v>
      </c>
      <c r="C7" s="3" t="s">
        <v>72</v>
      </c>
      <c r="D7" s="3" t="s">
        <v>32</v>
      </c>
      <c r="E7" s="4" t="s">
        <v>73</v>
      </c>
      <c r="F7" s="5" t="s">
        <v>74</v>
      </c>
      <c r="G7" s="6"/>
      <c r="H7" s="6"/>
      <c r="I7" s="6"/>
      <c r="J7" s="6"/>
      <c r="K7" s="6"/>
      <c r="L7" s="6"/>
      <c r="M7" s="6"/>
      <c r="N7" s="6"/>
      <c r="O7" s="6"/>
      <c r="P7" s="7"/>
      <c r="Q7" s="7"/>
      <c r="R7" s="8"/>
      <c r="S7" s="6"/>
      <c r="T7" s="6" t="s">
        <v>37</v>
      </c>
      <c r="U7" s="7"/>
      <c r="V7" s="3" t="n">
        <v>2</v>
      </c>
      <c r="W7" s="4" t="s">
        <v>75</v>
      </c>
      <c r="X7" s="4"/>
      <c r="Y7" s="3"/>
      <c r="Z7" s="3" t="s">
        <v>41</v>
      </c>
      <c r="AA7" s="3" t="n">
        <v>54.674288677</v>
      </c>
      <c r="AB7" s="3" t="n">
        <v>25.274729607</v>
      </c>
      <c r="AC7" s="3"/>
    </row>
    <row r="8" customFormat="false" ht="15" hidden="false" customHeight="false" outlineLevel="0" collapsed="false">
      <c r="A8" s="3" t="s">
        <v>76</v>
      </c>
      <c r="B8" s="3" t="s">
        <v>77</v>
      </c>
      <c r="C8" s="3" t="s">
        <v>78</v>
      </c>
      <c r="D8" s="3" t="s">
        <v>32</v>
      </c>
      <c r="E8" s="4" t="s">
        <v>79</v>
      </c>
      <c r="F8" s="5" t="s">
        <v>80</v>
      </c>
      <c r="G8" s="6"/>
      <c r="H8" s="6"/>
      <c r="I8" s="6"/>
      <c r="J8" s="6"/>
      <c r="K8" s="6"/>
      <c r="L8" s="6"/>
      <c r="M8" s="6"/>
      <c r="N8" s="6"/>
      <c r="O8" s="6"/>
      <c r="P8" s="7"/>
      <c r="Q8" s="7"/>
      <c r="R8" s="8"/>
      <c r="S8" s="6"/>
      <c r="T8" s="6" t="s">
        <v>37</v>
      </c>
      <c r="U8" s="7"/>
      <c r="V8" s="3" t="n">
        <v>2</v>
      </c>
      <c r="W8" s="4"/>
      <c r="X8" s="4"/>
      <c r="Y8" s="3"/>
      <c r="Z8" s="3" t="s">
        <v>41</v>
      </c>
      <c r="AA8" s="3" t="n">
        <v>54.70467948</v>
      </c>
      <c r="AB8" s="3" t="n">
        <v>25.310052969</v>
      </c>
      <c r="AC8" s="3"/>
    </row>
    <row r="9" customFormat="false" ht="15" hidden="false" customHeight="false" outlineLevel="0" collapsed="false">
      <c r="A9" s="3" t="s">
        <v>81</v>
      </c>
      <c r="B9" s="3" t="s">
        <v>82</v>
      </c>
      <c r="C9" s="3" t="s">
        <v>83</v>
      </c>
      <c r="D9" s="3" t="s">
        <v>32</v>
      </c>
      <c r="E9" s="4" t="s">
        <v>84</v>
      </c>
      <c r="F9" s="5" t="s">
        <v>85</v>
      </c>
      <c r="G9" s="6"/>
      <c r="H9" s="6"/>
      <c r="I9" s="6"/>
      <c r="J9" s="6"/>
      <c r="K9" s="6"/>
      <c r="L9" s="6"/>
      <c r="M9" s="6"/>
      <c r="N9" s="6"/>
      <c r="O9" s="6"/>
      <c r="P9" s="7"/>
      <c r="Q9" s="7"/>
      <c r="R9" s="8"/>
      <c r="S9" s="6"/>
      <c r="T9" s="6" t="s">
        <v>37</v>
      </c>
      <c r="U9" s="7"/>
      <c r="V9" s="3" t="n">
        <v>2</v>
      </c>
      <c r="W9" s="4"/>
      <c r="X9" s="4"/>
      <c r="Y9" s="3"/>
      <c r="Z9" s="3" t="s">
        <v>49</v>
      </c>
      <c r="AA9" s="3"/>
      <c r="AB9" s="3"/>
      <c r="AC9" s="3"/>
    </row>
    <row r="10" customFormat="false" ht="15" hidden="false" customHeight="false" outlineLevel="0" collapsed="false">
      <c r="A10" s="3" t="s">
        <v>86</v>
      </c>
      <c r="B10" s="3" t="s">
        <v>87</v>
      </c>
      <c r="C10" s="3" t="s">
        <v>88</v>
      </c>
      <c r="D10" s="3" t="s">
        <v>32</v>
      </c>
      <c r="E10" s="4" t="s">
        <v>89</v>
      </c>
      <c r="F10" s="5" t="s">
        <v>90</v>
      </c>
      <c r="G10" s="6"/>
      <c r="H10" s="6"/>
      <c r="I10" s="6"/>
      <c r="J10" s="6"/>
      <c r="K10" s="6"/>
      <c r="L10" s="6"/>
      <c r="M10" s="6"/>
      <c r="N10" s="6"/>
      <c r="O10" s="6"/>
      <c r="P10" s="7"/>
      <c r="Q10" s="7"/>
      <c r="R10" s="8"/>
      <c r="S10" s="6"/>
      <c r="T10" s="6" t="s">
        <v>37</v>
      </c>
      <c r="U10" s="7"/>
      <c r="V10" s="3" t="n">
        <v>2</v>
      </c>
      <c r="W10" s="4"/>
      <c r="X10" s="4"/>
      <c r="Y10" s="3"/>
      <c r="Z10" s="3" t="s">
        <v>41</v>
      </c>
      <c r="AA10" s="3" t="n">
        <v>54.707752015</v>
      </c>
      <c r="AB10" s="3" t="n">
        <v>25.300096142</v>
      </c>
      <c r="AC10" s="3"/>
    </row>
    <row r="11" customFormat="false" ht="15" hidden="false" customHeight="false" outlineLevel="0" collapsed="false">
      <c r="A11" s="3" t="s">
        <v>91</v>
      </c>
      <c r="B11" s="3" t="s">
        <v>92</v>
      </c>
      <c r="C11" s="3" t="s">
        <v>93</v>
      </c>
      <c r="D11" s="3" t="s">
        <v>32</v>
      </c>
      <c r="E11" s="4" t="s">
        <v>94</v>
      </c>
      <c r="F11" s="5" t="s">
        <v>95</v>
      </c>
      <c r="G11" s="6"/>
      <c r="H11" s="6"/>
      <c r="I11" s="6"/>
      <c r="J11" s="6"/>
      <c r="K11" s="6"/>
      <c r="L11" s="6"/>
      <c r="M11" s="6"/>
      <c r="N11" s="6"/>
      <c r="O11" s="6"/>
      <c r="P11" s="7"/>
      <c r="Q11" s="7"/>
      <c r="R11" s="8"/>
      <c r="S11" s="6"/>
      <c r="T11" s="6" t="s">
        <v>37</v>
      </c>
      <c r="U11" s="7"/>
      <c r="V11" s="3" t="n">
        <v>2</v>
      </c>
      <c r="W11" s="4"/>
      <c r="X11" s="4"/>
      <c r="Y11" s="3"/>
      <c r="Z11" s="3" t="s">
        <v>41</v>
      </c>
      <c r="AA11" s="3" t="n">
        <v>54.695742804</v>
      </c>
      <c r="AB11" s="3" t="n">
        <v>25.280226898</v>
      </c>
      <c r="AC11" s="3"/>
    </row>
    <row r="12" customFormat="false" ht="15" hidden="false" customHeight="false" outlineLevel="0" collapsed="false">
      <c r="A12" s="3" t="s">
        <v>96</v>
      </c>
      <c r="B12" s="3" t="s">
        <v>97</v>
      </c>
      <c r="C12" s="3" t="s">
        <v>98</v>
      </c>
      <c r="D12" s="3" t="s">
        <v>32</v>
      </c>
      <c r="E12" s="4" t="s">
        <v>99</v>
      </c>
      <c r="F12" s="5" t="s">
        <v>100</v>
      </c>
      <c r="G12" s="6"/>
      <c r="H12" s="6"/>
      <c r="I12" s="6"/>
      <c r="J12" s="6"/>
      <c r="K12" s="6"/>
      <c r="L12" s="6"/>
      <c r="M12" s="6"/>
      <c r="N12" s="6"/>
      <c r="O12" s="6"/>
      <c r="P12" s="7"/>
      <c r="Q12" s="7"/>
      <c r="R12" s="8"/>
      <c r="S12" s="6"/>
      <c r="T12" s="6" t="s">
        <v>37</v>
      </c>
      <c r="U12" s="7"/>
      <c r="V12" s="3" t="n">
        <v>2</v>
      </c>
      <c r="W12" s="4"/>
      <c r="X12" s="4"/>
      <c r="Y12" s="3" t="s">
        <v>101</v>
      </c>
      <c r="Z12" s="3" t="s">
        <v>41</v>
      </c>
      <c r="AA12" s="3" t="n">
        <v>54.725929568</v>
      </c>
      <c r="AB12" s="3" t="n">
        <v>25.231311457</v>
      </c>
      <c r="AC12" s="3"/>
    </row>
    <row r="13" customFormat="false" ht="15" hidden="false" customHeight="false" outlineLevel="0" collapsed="false">
      <c r="A13" s="3" t="s">
        <v>102</v>
      </c>
      <c r="B13" s="3" t="s">
        <v>103</v>
      </c>
      <c r="C13" s="3" t="s">
        <v>104</v>
      </c>
      <c r="D13" s="3" t="s">
        <v>32</v>
      </c>
      <c r="E13" s="4" t="s">
        <v>105</v>
      </c>
      <c r="F13" s="5" t="s">
        <v>106</v>
      </c>
      <c r="G13" s="6"/>
      <c r="H13" s="6"/>
      <c r="I13" s="6"/>
      <c r="J13" s="6"/>
      <c r="K13" s="6"/>
      <c r="L13" s="6"/>
      <c r="M13" s="6"/>
      <c r="N13" s="6"/>
      <c r="O13" s="6"/>
      <c r="P13" s="7"/>
      <c r="Q13" s="7"/>
      <c r="R13" s="8"/>
      <c r="S13" s="6"/>
      <c r="T13" s="6" t="s">
        <v>37</v>
      </c>
      <c r="U13" s="7"/>
      <c r="V13" s="3" t="n">
        <v>2</v>
      </c>
      <c r="W13" s="4"/>
      <c r="X13" s="4"/>
      <c r="Y13" s="3"/>
      <c r="Z13" s="3" t="s">
        <v>41</v>
      </c>
      <c r="AA13" s="3" t="n">
        <v>54.716674898</v>
      </c>
      <c r="AB13" s="3" t="n">
        <v>25.229478799</v>
      </c>
      <c r="AC13" s="3"/>
    </row>
    <row r="14" customFormat="false" ht="15" hidden="false" customHeight="false" outlineLevel="0" collapsed="false">
      <c r="A14" s="3" t="s">
        <v>107</v>
      </c>
      <c r="B14" s="3" t="s">
        <v>108</v>
      </c>
      <c r="C14" s="3" t="s">
        <v>109</v>
      </c>
      <c r="D14" s="3" t="s">
        <v>32</v>
      </c>
      <c r="E14" s="4" t="s">
        <v>110</v>
      </c>
      <c r="F14" s="5" t="s">
        <v>111</v>
      </c>
      <c r="G14" s="6"/>
      <c r="H14" s="6"/>
      <c r="I14" s="6"/>
      <c r="J14" s="6"/>
      <c r="K14" s="6"/>
      <c r="L14" s="6"/>
      <c r="M14" s="6"/>
      <c r="N14" s="6"/>
      <c r="O14" s="6"/>
      <c r="P14" s="7"/>
      <c r="Q14" s="7"/>
      <c r="R14" s="8"/>
      <c r="S14" s="6"/>
      <c r="T14" s="6" t="s">
        <v>37</v>
      </c>
      <c r="U14" s="7"/>
      <c r="V14" s="3" t="n">
        <v>2</v>
      </c>
      <c r="W14" s="4"/>
      <c r="X14" s="4"/>
      <c r="Y14" s="3"/>
      <c r="Z14" s="3" t="s">
        <v>41</v>
      </c>
      <c r="AA14" s="3" t="n">
        <v>54.683074183</v>
      </c>
      <c r="AB14" s="3" t="n">
        <v>25.280944792</v>
      </c>
      <c r="AC14" s="3"/>
    </row>
    <row r="15" customFormat="false" ht="15" hidden="false" customHeight="false" outlineLevel="0" collapsed="false">
      <c r="A15" s="3" t="s">
        <v>112</v>
      </c>
      <c r="B15" s="3" t="s">
        <v>113</v>
      </c>
      <c r="C15" s="3" t="s">
        <v>114</v>
      </c>
      <c r="D15" s="3" t="s">
        <v>32</v>
      </c>
      <c r="E15" s="4" t="s">
        <v>115</v>
      </c>
      <c r="F15" s="5" t="s">
        <v>116</v>
      </c>
      <c r="G15" s="6"/>
      <c r="H15" s="6"/>
      <c r="I15" s="6"/>
      <c r="J15" s="6"/>
      <c r="K15" s="6"/>
      <c r="L15" s="6"/>
      <c r="M15" s="6"/>
      <c r="N15" s="6"/>
      <c r="O15" s="6"/>
      <c r="P15" s="7"/>
      <c r="Q15" s="7"/>
      <c r="R15" s="8"/>
      <c r="S15" s="6"/>
      <c r="T15" s="6" t="s">
        <v>37</v>
      </c>
      <c r="U15" s="7"/>
      <c r="V15" s="3" t="n">
        <v>2</v>
      </c>
      <c r="W15" s="4"/>
      <c r="X15" s="4"/>
      <c r="Y15" s="3"/>
      <c r="Z15" s="3" t="s">
        <v>41</v>
      </c>
      <c r="AA15" s="3" t="n">
        <v>54.675964025</v>
      </c>
      <c r="AB15" s="3" t="n">
        <v>25.255414965</v>
      </c>
      <c r="AC15" s="3"/>
    </row>
    <row r="16" customFormat="false" ht="15" hidden="false" customHeight="false" outlineLevel="0" collapsed="false">
      <c r="A16" s="3" t="s">
        <v>117</v>
      </c>
      <c r="B16" s="3" t="s">
        <v>118</v>
      </c>
      <c r="C16" s="3" t="s">
        <v>119</v>
      </c>
      <c r="D16" s="3" t="s">
        <v>32</v>
      </c>
      <c r="E16" s="4" t="s">
        <v>120</v>
      </c>
      <c r="F16" s="5" t="s">
        <v>121</v>
      </c>
      <c r="G16" s="6"/>
      <c r="H16" s="6"/>
      <c r="I16" s="6"/>
      <c r="J16" s="6"/>
      <c r="K16" s="6"/>
      <c r="L16" s="6"/>
      <c r="M16" s="6"/>
      <c r="N16" s="6"/>
      <c r="O16" s="6"/>
      <c r="P16" s="7"/>
      <c r="Q16" s="7"/>
      <c r="R16" s="8"/>
      <c r="S16" s="6"/>
      <c r="T16" s="6" t="s">
        <v>37</v>
      </c>
      <c r="U16" s="7"/>
      <c r="V16" s="3" t="n">
        <v>2</v>
      </c>
      <c r="W16" s="4"/>
      <c r="X16" s="4"/>
      <c r="Y16" s="3"/>
      <c r="Z16" s="3" t="s">
        <v>41</v>
      </c>
      <c r="AA16" s="3" t="n">
        <v>54.779676059</v>
      </c>
      <c r="AB16" s="3" t="n">
        <v>25.275367967</v>
      </c>
      <c r="AC16" s="3"/>
    </row>
    <row r="17" customFormat="false" ht="15" hidden="false" customHeight="false" outlineLevel="0" collapsed="false">
      <c r="A17" s="3" t="s">
        <v>122</v>
      </c>
      <c r="B17" s="3" t="s">
        <v>123</v>
      </c>
      <c r="C17" s="3" t="s">
        <v>124</v>
      </c>
      <c r="D17" s="3" t="s">
        <v>32</v>
      </c>
      <c r="E17" s="4" t="s">
        <v>89</v>
      </c>
      <c r="F17" s="5" t="s">
        <v>125</v>
      </c>
      <c r="G17" s="6"/>
      <c r="H17" s="6"/>
      <c r="I17" s="6"/>
      <c r="J17" s="6"/>
      <c r="K17" s="6"/>
      <c r="L17" s="6"/>
      <c r="M17" s="6"/>
      <c r="N17" s="6"/>
      <c r="O17" s="6"/>
      <c r="P17" s="7"/>
      <c r="Q17" s="7"/>
      <c r="R17" s="8"/>
      <c r="S17" s="6"/>
      <c r="T17" s="6" t="s">
        <v>37</v>
      </c>
      <c r="U17" s="7"/>
      <c r="V17" s="3" t="n">
        <v>2</v>
      </c>
      <c r="W17" s="4"/>
      <c r="X17" s="4"/>
      <c r="Y17" s="3"/>
      <c r="Z17" s="3" t="s">
        <v>41</v>
      </c>
      <c r="AA17" s="3" t="n">
        <v>54.707752015</v>
      </c>
      <c r="AB17" s="3" t="n">
        <v>25.300096142</v>
      </c>
      <c r="AC17" s="3"/>
    </row>
    <row r="18" customFormat="false" ht="15" hidden="false" customHeight="false" outlineLevel="0" collapsed="false">
      <c r="A18" s="3" t="s">
        <v>126</v>
      </c>
      <c r="B18" s="3" t="s">
        <v>127</v>
      </c>
      <c r="C18" s="3" t="s">
        <v>128</v>
      </c>
      <c r="D18" s="3" t="s">
        <v>32</v>
      </c>
      <c r="E18" s="4" t="s">
        <v>129</v>
      </c>
      <c r="F18" s="5" t="s">
        <v>130</v>
      </c>
      <c r="G18" s="6"/>
      <c r="H18" s="6"/>
      <c r="I18" s="6"/>
      <c r="J18" s="6"/>
      <c r="K18" s="6"/>
      <c r="L18" s="6"/>
      <c r="M18" s="6"/>
      <c r="N18" s="6"/>
      <c r="O18" s="6"/>
      <c r="P18" s="7"/>
      <c r="Q18" s="7"/>
      <c r="R18" s="8"/>
      <c r="S18" s="6"/>
      <c r="T18" s="6" t="s">
        <v>37</v>
      </c>
      <c r="U18" s="7"/>
      <c r="V18" s="3" t="n">
        <v>2</v>
      </c>
      <c r="W18" s="4"/>
      <c r="X18" s="4"/>
      <c r="Y18" s="3"/>
      <c r="Z18" s="3" t="s">
        <v>41</v>
      </c>
      <c r="AA18" s="3" t="n">
        <v>54.703243461</v>
      </c>
      <c r="AB18" s="3" t="n">
        <v>25.315701282</v>
      </c>
      <c r="AC18" s="3"/>
    </row>
    <row r="19" customFormat="false" ht="23.85" hidden="false" customHeight="false" outlineLevel="0" collapsed="false">
      <c r="A19" s="3" t="s">
        <v>131</v>
      </c>
      <c r="B19" s="3" t="s">
        <v>132</v>
      </c>
      <c r="C19" s="3" t="s">
        <v>133</v>
      </c>
      <c r="D19" s="3" t="s">
        <v>32</v>
      </c>
      <c r="E19" s="4" t="s">
        <v>134</v>
      </c>
      <c r="F19" s="5" t="s">
        <v>135</v>
      </c>
      <c r="G19" s="6"/>
      <c r="H19" s="6"/>
      <c r="I19" s="6"/>
      <c r="J19" s="6"/>
      <c r="K19" s="6"/>
      <c r="L19" s="6"/>
      <c r="M19" s="6"/>
      <c r="N19" s="6"/>
      <c r="O19" s="6"/>
      <c r="P19" s="7"/>
      <c r="Q19" s="7"/>
      <c r="R19" s="8"/>
      <c r="S19" s="6"/>
      <c r="T19" s="6" t="s">
        <v>37</v>
      </c>
      <c r="U19" s="7"/>
      <c r="V19" s="3" t="n">
        <v>2</v>
      </c>
      <c r="W19" s="4" t="s">
        <v>75</v>
      </c>
      <c r="X19" s="4"/>
      <c r="Y19" s="3"/>
      <c r="Z19" s="3" t="s">
        <v>41</v>
      </c>
      <c r="AA19" s="3" t="n">
        <v>54.732993225</v>
      </c>
      <c r="AB19" s="3" t="n">
        <v>25.240919992</v>
      </c>
      <c r="AC19" s="3"/>
    </row>
    <row r="20" customFormat="false" ht="15" hidden="false" customHeight="false" outlineLevel="0" collapsed="false">
      <c r="A20" s="3" t="s">
        <v>136</v>
      </c>
      <c r="B20" s="3" t="s">
        <v>137</v>
      </c>
      <c r="C20" s="3" t="s">
        <v>138</v>
      </c>
      <c r="D20" s="3" t="s">
        <v>32</v>
      </c>
      <c r="E20" s="4" t="s">
        <v>139</v>
      </c>
      <c r="F20" s="5" t="s">
        <v>140</v>
      </c>
      <c r="G20" s="6"/>
      <c r="H20" s="6"/>
      <c r="I20" s="6"/>
      <c r="J20" s="6"/>
      <c r="K20" s="6"/>
      <c r="L20" s="6"/>
      <c r="M20" s="6"/>
      <c r="N20" s="6"/>
      <c r="O20" s="6"/>
      <c r="P20" s="7"/>
      <c r="Q20" s="7"/>
      <c r="R20" s="8"/>
      <c r="S20" s="6"/>
      <c r="T20" s="6" t="s">
        <v>37</v>
      </c>
      <c r="U20" s="7"/>
      <c r="V20" s="3" t="n">
        <v>2</v>
      </c>
      <c r="W20" s="4"/>
      <c r="X20" s="4"/>
      <c r="Y20" s="3"/>
      <c r="Z20" s="3" t="s">
        <v>41</v>
      </c>
      <c r="AA20" s="3" t="n">
        <v>54.685869524</v>
      </c>
      <c r="AB20" s="3" t="n">
        <v>25.427990723</v>
      </c>
      <c r="AC20" s="3"/>
    </row>
    <row r="21" customFormat="false" ht="23.85" hidden="false" customHeight="false" outlineLevel="0" collapsed="false">
      <c r="A21" s="3" t="s">
        <v>141</v>
      </c>
      <c r="B21" s="3" t="s">
        <v>142</v>
      </c>
      <c r="C21" s="3" t="s">
        <v>143</v>
      </c>
      <c r="D21" s="3" t="s">
        <v>32</v>
      </c>
      <c r="E21" s="4" t="s">
        <v>144</v>
      </c>
      <c r="F21" s="5" t="s">
        <v>145</v>
      </c>
      <c r="G21" s="6"/>
      <c r="H21" s="6"/>
      <c r="I21" s="6"/>
      <c r="J21" s="6"/>
      <c r="K21" s="6"/>
      <c r="L21" s="6"/>
      <c r="M21" s="6"/>
      <c r="N21" s="6"/>
      <c r="O21" s="6"/>
      <c r="P21" s="7"/>
      <c r="Q21" s="7"/>
      <c r="R21" s="8"/>
      <c r="S21" s="6"/>
      <c r="T21" s="6" t="s">
        <v>37</v>
      </c>
      <c r="U21" s="7"/>
      <c r="V21" s="3" t="n">
        <v>2</v>
      </c>
      <c r="W21" s="4" t="s">
        <v>75</v>
      </c>
      <c r="X21" s="4"/>
      <c r="Y21" s="3"/>
      <c r="Z21" s="3" t="s">
        <v>41</v>
      </c>
      <c r="AA21" s="3" t="n">
        <v>54.68126465</v>
      </c>
      <c r="AB21" s="3" t="n">
        <v>25.264154527</v>
      </c>
      <c r="AC21" s="3"/>
    </row>
    <row r="22" customFormat="false" ht="15" hidden="false" customHeight="false" outlineLevel="0" collapsed="false">
      <c r="A22" s="3" t="s">
        <v>146</v>
      </c>
      <c r="B22" s="3" t="s">
        <v>147</v>
      </c>
      <c r="C22" s="3" t="s">
        <v>148</v>
      </c>
      <c r="D22" s="3" t="s">
        <v>32</v>
      </c>
      <c r="E22" s="4" t="s">
        <v>149</v>
      </c>
      <c r="F22" s="5" t="s">
        <v>150</v>
      </c>
      <c r="G22" s="6"/>
      <c r="H22" s="6"/>
      <c r="I22" s="6"/>
      <c r="J22" s="6"/>
      <c r="K22" s="6"/>
      <c r="L22" s="6"/>
      <c r="M22" s="6"/>
      <c r="N22" s="6"/>
      <c r="O22" s="6"/>
      <c r="P22" s="7"/>
      <c r="Q22" s="7"/>
      <c r="R22" s="8"/>
      <c r="S22" s="6"/>
      <c r="T22" s="6" t="s">
        <v>37</v>
      </c>
      <c r="U22" s="7"/>
      <c r="V22" s="3" t="n">
        <v>2</v>
      </c>
      <c r="W22" s="4"/>
      <c r="X22" s="4"/>
      <c r="Y22" s="3"/>
      <c r="Z22" s="3" t="s">
        <v>41</v>
      </c>
      <c r="AA22" s="3" t="n">
        <v>54.714485478</v>
      </c>
      <c r="AB22" s="3" t="n">
        <v>25.155758084</v>
      </c>
      <c r="AC22" s="3"/>
    </row>
    <row r="23" customFormat="false" ht="15" hidden="false" customHeight="false" outlineLevel="0" collapsed="false">
      <c r="A23" s="3" t="s">
        <v>151</v>
      </c>
      <c r="B23" s="3" t="s">
        <v>152</v>
      </c>
      <c r="C23" s="3" t="s">
        <v>153</v>
      </c>
      <c r="D23" s="3" t="s">
        <v>32</v>
      </c>
      <c r="E23" s="4" t="s">
        <v>154</v>
      </c>
      <c r="F23" s="5" t="s">
        <v>155</v>
      </c>
      <c r="G23" s="6"/>
      <c r="H23" s="6"/>
      <c r="I23" s="6"/>
      <c r="J23" s="6"/>
      <c r="K23" s="6"/>
      <c r="L23" s="6"/>
      <c r="M23" s="6"/>
      <c r="N23" s="6"/>
      <c r="O23" s="6"/>
      <c r="P23" s="7"/>
      <c r="Q23" s="7"/>
      <c r="R23" s="8"/>
      <c r="S23" s="6"/>
      <c r="T23" s="6" t="s">
        <v>37</v>
      </c>
      <c r="U23" s="7"/>
      <c r="V23" s="3" t="n">
        <v>2</v>
      </c>
      <c r="W23" s="4"/>
      <c r="X23" s="4"/>
      <c r="Y23" s="3"/>
      <c r="Z23" s="3" t="s">
        <v>49</v>
      </c>
      <c r="AA23" s="3"/>
      <c r="AB23" s="3"/>
      <c r="AC23" s="3"/>
    </row>
    <row r="24" customFormat="false" ht="15" hidden="false" customHeight="false" outlineLevel="0" collapsed="false">
      <c r="A24" s="3" t="s">
        <v>156</v>
      </c>
      <c r="B24" s="3" t="s">
        <v>157</v>
      </c>
      <c r="C24" s="3" t="s">
        <v>158</v>
      </c>
      <c r="D24" s="3" t="s">
        <v>32</v>
      </c>
      <c r="E24" s="4" t="s">
        <v>159</v>
      </c>
      <c r="F24" s="5" t="s">
        <v>160</v>
      </c>
      <c r="G24" s="6"/>
      <c r="H24" s="6"/>
      <c r="I24" s="6"/>
      <c r="J24" s="6"/>
      <c r="K24" s="6"/>
      <c r="L24" s="6"/>
      <c r="M24" s="6"/>
      <c r="N24" s="6"/>
      <c r="O24" s="6"/>
      <c r="P24" s="7"/>
      <c r="Q24" s="7"/>
      <c r="R24" s="8"/>
      <c r="S24" s="6"/>
      <c r="T24" s="6" t="s">
        <v>37</v>
      </c>
      <c r="U24" s="7"/>
      <c r="V24" s="3" t="n">
        <v>2</v>
      </c>
      <c r="W24" s="4"/>
      <c r="X24" s="4"/>
      <c r="Y24" s="3"/>
      <c r="Z24" s="3" t="s">
        <v>41</v>
      </c>
      <c r="AA24" s="3" t="n">
        <v>54.652419104</v>
      </c>
      <c r="AB24" s="3" t="n">
        <v>25.2770979</v>
      </c>
      <c r="AC24" s="3"/>
    </row>
    <row r="25" customFormat="false" ht="35.05" hidden="false" customHeight="false" outlineLevel="0" collapsed="false">
      <c r="A25" s="3" t="s">
        <v>161</v>
      </c>
      <c r="B25" s="3" t="s">
        <v>162</v>
      </c>
      <c r="C25" s="3" t="s">
        <v>163</v>
      </c>
      <c r="D25" s="3" t="s">
        <v>32</v>
      </c>
      <c r="E25" s="4" t="s">
        <v>164</v>
      </c>
      <c r="F25" s="5" t="s">
        <v>165</v>
      </c>
      <c r="G25" s="6"/>
      <c r="H25" s="6"/>
      <c r="I25" s="6"/>
      <c r="J25" s="6"/>
      <c r="K25" s="6"/>
      <c r="L25" s="6"/>
      <c r="M25" s="6"/>
      <c r="N25" s="6"/>
      <c r="O25" s="6"/>
      <c r="P25" s="7"/>
      <c r="Q25" s="7"/>
      <c r="R25" s="8"/>
      <c r="S25" s="6"/>
      <c r="T25" s="6" t="s">
        <v>37</v>
      </c>
      <c r="U25" s="7"/>
      <c r="V25" s="3" t="n">
        <v>2</v>
      </c>
      <c r="W25" s="4" t="s">
        <v>166</v>
      </c>
      <c r="X25" s="4" t="s">
        <v>167</v>
      </c>
      <c r="Y25" s="3" t="s">
        <v>168</v>
      </c>
      <c r="Z25" s="3" t="s">
        <v>41</v>
      </c>
      <c r="AA25" s="3" t="n">
        <v>54.679651904</v>
      </c>
      <c r="AB25" s="3" t="n">
        <v>25.297709262</v>
      </c>
      <c r="AC25" s="3"/>
    </row>
    <row r="26" customFormat="false" ht="15" hidden="false" customHeight="false" outlineLevel="0" collapsed="false">
      <c r="A26" s="3" t="s">
        <v>169</v>
      </c>
      <c r="B26" s="3" t="s">
        <v>170</v>
      </c>
      <c r="C26" s="3" t="s">
        <v>170</v>
      </c>
      <c r="D26" s="3" t="s">
        <v>32</v>
      </c>
      <c r="E26" s="4" t="s">
        <v>171</v>
      </c>
      <c r="F26" s="5" t="s">
        <v>172</v>
      </c>
      <c r="G26" s="6"/>
      <c r="H26" s="6"/>
      <c r="I26" s="6"/>
      <c r="J26" s="6"/>
      <c r="K26" s="6"/>
      <c r="L26" s="6"/>
      <c r="M26" s="6"/>
      <c r="N26" s="6"/>
      <c r="O26" s="6"/>
      <c r="P26" s="7"/>
      <c r="Q26" s="7"/>
      <c r="R26" s="8"/>
      <c r="S26" s="6"/>
      <c r="T26" s="6" t="s">
        <v>37</v>
      </c>
      <c r="U26" s="7"/>
      <c r="V26" s="3" t="n">
        <v>2</v>
      </c>
      <c r="W26" s="4"/>
      <c r="X26" s="4"/>
      <c r="Y26" s="3"/>
      <c r="Z26" s="3" t="s">
        <v>41</v>
      </c>
      <c r="AA26" s="3" t="n">
        <v>54.725693243</v>
      </c>
      <c r="AB26" s="3" t="n">
        <v>25.245649428</v>
      </c>
      <c r="AC26" s="3"/>
    </row>
    <row r="27" customFormat="false" ht="23.85" hidden="false" customHeight="false" outlineLevel="0" collapsed="false">
      <c r="A27" s="3" t="s">
        <v>173</v>
      </c>
      <c r="B27" s="3" t="s">
        <v>174</v>
      </c>
      <c r="C27" s="3" t="s">
        <v>174</v>
      </c>
      <c r="D27" s="3" t="s">
        <v>32</v>
      </c>
      <c r="E27" s="4" t="s">
        <v>89</v>
      </c>
      <c r="F27" s="5" t="s">
        <v>175</v>
      </c>
      <c r="G27" s="6"/>
      <c r="H27" s="6"/>
      <c r="I27" s="6"/>
      <c r="J27" s="6"/>
      <c r="K27" s="6"/>
      <c r="L27" s="6"/>
      <c r="M27" s="6"/>
      <c r="N27" s="6"/>
      <c r="O27" s="6"/>
      <c r="P27" s="7"/>
      <c r="Q27" s="7"/>
      <c r="R27" s="8"/>
      <c r="S27" s="6"/>
      <c r="T27" s="6" t="s">
        <v>37</v>
      </c>
      <c r="U27" s="7"/>
      <c r="V27" s="3" t="n">
        <v>2</v>
      </c>
      <c r="W27" s="4" t="s">
        <v>75</v>
      </c>
      <c r="X27" s="4"/>
      <c r="Y27" s="3"/>
      <c r="Z27" s="3" t="s">
        <v>41</v>
      </c>
      <c r="AA27" s="3" t="n">
        <v>54.707752015</v>
      </c>
      <c r="AB27" s="3" t="n">
        <v>25.300096142</v>
      </c>
      <c r="AC27" s="3"/>
    </row>
    <row r="28" customFormat="false" ht="15" hidden="false" customHeight="false" outlineLevel="0" collapsed="false">
      <c r="A28" s="3" t="s">
        <v>176</v>
      </c>
      <c r="B28" s="3" t="s">
        <v>177</v>
      </c>
      <c r="C28" s="3" t="s">
        <v>178</v>
      </c>
      <c r="D28" s="3" t="s">
        <v>32</v>
      </c>
      <c r="E28" s="4" t="s">
        <v>179</v>
      </c>
      <c r="F28" s="5" t="s">
        <v>180</v>
      </c>
      <c r="G28" s="6"/>
      <c r="H28" s="6"/>
      <c r="I28" s="6"/>
      <c r="J28" s="6"/>
      <c r="K28" s="6"/>
      <c r="L28" s="6"/>
      <c r="M28" s="6"/>
      <c r="N28" s="6"/>
      <c r="O28" s="6"/>
      <c r="P28" s="7"/>
      <c r="Q28" s="7"/>
      <c r="R28" s="8"/>
      <c r="S28" s="6"/>
      <c r="T28" s="6" t="s">
        <v>37</v>
      </c>
      <c r="U28" s="7"/>
      <c r="V28" s="3" t="n">
        <v>2</v>
      </c>
      <c r="W28" s="4"/>
      <c r="X28" s="4"/>
      <c r="Y28" s="3"/>
      <c r="Z28" s="3" t="s">
        <v>41</v>
      </c>
      <c r="AA28" s="3" t="n">
        <v>54.749021035</v>
      </c>
      <c r="AB28" s="3" t="n">
        <v>25.19556947</v>
      </c>
      <c r="AC28" s="3"/>
    </row>
    <row r="29" customFormat="false" ht="35.05" hidden="false" customHeight="false" outlineLevel="0" collapsed="false">
      <c r="A29" s="3" t="s">
        <v>181</v>
      </c>
      <c r="B29" s="3" t="s">
        <v>182</v>
      </c>
      <c r="C29" s="3" t="s">
        <v>183</v>
      </c>
      <c r="D29" s="3" t="s">
        <v>32</v>
      </c>
      <c r="E29" s="4" t="s">
        <v>184</v>
      </c>
      <c r="F29" s="5" t="s">
        <v>185</v>
      </c>
      <c r="G29" s="6"/>
      <c r="H29" s="6"/>
      <c r="I29" s="6"/>
      <c r="J29" s="6"/>
      <c r="K29" s="6"/>
      <c r="L29" s="6"/>
      <c r="M29" s="6"/>
      <c r="N29" s="6"/>
      <c r="O29" s="6"/>
      <c r="P29" s="7"/>
      <c r="Q29" s="7"/>
      <c r="R29" s="8"/>
      <c r="S29" s="6"/>
      <c r="T29" s="6" t="s">
        <v>37</v>
      </c>
      <c r="U29" s="7"/>
      <c r="V29" s="3" t="n">
        <v>2</v>
      </c>
      <c r="W29" s="4" t="s">
        <v>186</v>
      </c>
      <c r="X29" s="4"/>
      <c r="Y29" s="3"/>
      <c r="Z29" s="3" t="s">
        <v>41</v>
      </c>
      <c r="AA29" s="3" t="n">
        <v>54.676502341</v>
      </c>
      <c r="AB29" s="3" t="n">
        <v>25.289716064</v>
      </c>
      <c r="AC29" s="3"/>
    </row>
    <row r="30" customFormat="false" ht="15" hidden="false" customHeight="false" outlineLevel="0" collapsed="false">
      <c r="A30" s="3" t="s">
        <v>187</v>
      </c>
      <c r="B30" s="3" t="s">
        <v>188</v>
      </c>
      <c r="C30" s="3" t="s">
        <v>189</v>
      </c>
      <c r="D30" s="3" t="s">
        <v>32</v>
      </c>
      <c r="E30" s="4" t="s">
        <v>190</v>
      </c>
      <c r="F30" s="5" t="s">
        <v>191</v>
      </c>
      <c r="G30" s="6"/>
      <c r="H30" s="6"/>
      <c r="I30" s="6"/>
      <c r="J30" s="6"/>
      <c r="K30" s="6"/>
      <c r="L30" s="6"/>
      <c r="M30" s="6"/>
      <c r="N30" s="6"/>
      <c r="O30" s="6"/>
      <c r="P30" s="7"/>
      <c r="Q30" s="7"/>
      <c r="R30" s="8"/>
      <c r="S30" s="6"/>
      <c r="T30" s="6" t="s">
        <v>37</v>
      </c>
      <c r="U30" s="7"/>
      <c r="V30" s="3" t="n">
        <v>2</v>
      </c>
      <c r="W30" s="4"/>
      <c r="X30" s="4"/>
      <c r="Y30" s="3"/>
      <c r="Z30" s="3" t="s">
        <v>41</v>
      </c>
      <c r="AA30" s="3" t="n">
        <v>54.733941189</v>
      </c>
      <c r="AB30" s="3" t="n">
        <v>25.246616759</v>
      </c>
      <c r="AC30" s="3"/>
    </row>
    <row r="31" customFormat="false" ht="15" hidden="false" customHeight="false" outlineLevel="0" collapsed="false">
      <c r="A31" s="3" t="s">
        <v>192</v>
      </c>
      <c r="B31" s="3" t="s">
        <v>193</v>
      </c>
      <c r="C31" s="3" t="s">
        <v>194</v>
      </c>
      <c r="D31" s="3" t="s">
        <v>32</v>
      </c>
      <c r="E31" s="4" t="s">
        <v>195</v>
      </c>
      <c r="F31" s="5" t="s">
        <v>196</v>
      </c>
      <c r="G31" s="6"/>
      <c r="H31" s="6"/>
      <c r="I31" s="6"/>
      <c r="J31" s="6"/>
      <c r="K31" s="6"/>
      <c r="L31" s="6"/>
      <c r="M31" s="6"/>
      <c r="N31" s="6"/>
      <c r="O31" s="6"/>
      <c r="P31" s="7"/>
      <c r="Q31" s="7"/>
      <c r="R31" s="8"/>
      <c r="S31" s="6"/>
      <c r="T31" s="6" t="s">
        <v>37</v>
      </c>
      <c r="U31" s="7"/>
      <c r="V31" s="3" t="n">
        <v>2</v>
      </c>
      <c r="W31" s="4"/>
      <c r="X31" s="4"/>
      <c r="Y31" s="3"/>
      <c r="Z31" s="3" t="s">
        <v>49</v>
      </c>
      <c r="AA31" s="3"/>
      <c r="AB31" s="3"/>
      <c r="AC31" s="3"/>
    </row>
    <row r="32" customFormat="false" ht="23.85" hidden="false" customHeight="false" outlineLevel="0" collapsed="false">
      <c r="A32" s="3" t="s">
        <v>197</v>
      </c>
      <c r="B32" s="3" t="s">
        <v>198</v>
      </c>
      <c r="C32" s="3" t="s">
        <v>199</v>
      </c>
      <c r="D32" s="3" t="s">
        <v>32</v>
      </c>
      <c r="E32" s="4" t="s">
        <v>200</v>
      </c>
      <c r="F32" s="5" t="s">
        <v>201</v>
      </c>
      <c r="G32" s="6"/>
      <c r="H32" s="6"/>
      <c r="I32" s="6"/>
      <c r="J32" s="6"/>
      <c r="K32" s="6"/>
      <c r="L32" s="6"/>
      <c r="M32" s="6"/>
      <c r="N32" s="6"/>
      <c r="O32" s="6"/>
      <c r="P32" s="7"/>
      <c r="Q32" s="7"/>
      <c r="R32" s="8"/>
      <c r="S32" s="6"/>
      <c r="T32" s="6" t="s">
        <v>37</v>
      </c>
      <c r="U32" s="7"/>
      <c r="V32" s="3" t="n">
        <v>2</v>
      </c>
      <c r="W32" s="4" t="s">
        <v>202</v>
      </c>
      <c r="X32" s="4"/>
      <c r="Y32" s="3"/>
      <c r="Z32" s="3" t="s">
        <v>41</v>
      </c>
      <c r="AA32" s="3" t="n">
        <v>54.701141737</v>
      </c>
      <c r="AB32" s="3" t="n">
        <v>25.251118775</v>
      </c>
      <c r="AC32" s="3"/>
    </row>
    <row r="33" customFormat="false" ht="15" hidden="false" customHeight="false" outlineLevel="0" collapsed="false">
      <c r="A33" s="3" t="s">
        <v>203</v>
      </c>
      <c r="B33" s="3" t="s">
        <v>204</v>
      </c>
      <c r="C33" s="3" t="s">
        <v>205</v>
      </c>
      <c r="D33" s="3" t="s">
        <v>32</v>
      </c>
      <c r="E33" s="4" t="s">
        <v>206</v>
      </c>
      <c r="F33" s="5" t="s">
        <v>207</v>
      </c>
      <c r="G33" s="6"/>
      <c r="H33" s="6"/>
      <c r="I33" s="6"/>
      <c r="J33" s="6"/>
      <c r="K33" s="6"/>
      <c r="L33" s="6"/>
      <c r="M33" s="6"/>
      <c r="N33" s="6"/>
      <c r="O33" s="6"/>
      <c r="P33" s="7"/>
      <c r="Q33" s="7"/>
      <c r="R33" s="8"/>
      <c r="S33" s="6"/>
      <c r="T33" s="6" t="s">
        <v>37</v>
      </c>
      <c r="U33" s="7"/>
      <c r="V33" s="3" t="n">
        <v>2</v>
      </c>
      <c r="W33" s="4"/>
      <c r="X33" s="4"/>
      <c r="Y33" s="3"/>
      <c r="Z33" s="3" t="s">
        <v>49</v>
      </c>
      <c r="AA33" s="3"/>
      <c r="AB33" s="3"/>
      <c r="AC33" s="3"/>
    </row>
    <row r="34" customFormat="false" ht="15" hidden="false" customHeight="false" outlineLevel="0" collapsed="false">
      <c r="A34" s="3" t="s">
        <v>208</v>
      </c>
      <c r="B34" s="3" t="s">
        <v>209</v>
      </c>
      <c r="C34" s="3" t="s">
        <v>210</v>
      </c>
      <c r="D34" s="3" t="s">
        <v>32</v>
      </c>
      <c r="E34" s="4" t="s">
        <v>211</v>
      </c>
      <c r="F34" s="5" t="s">
        <v>100</v>
      </c>
      <c r="G34" s="6"/>
      <c r="H34" s="6"/>
      <c r="I34" s="6"/>
      <c r="J34" s="6"/>
      <c r="K34" s="6"/>
      <c r="L34" s="6"/>
      <c r="M34" s="6"/>
      <c r="N34" s="6"/>
      <c r="O34" s="6"/>
      <c r="P34" s="7"/>
      <c r="Q34" s="7"/>
      <c r="R34" s="8"/>
      <c r="S34" s="6"/>
      <c r="T34" s="6" t="s">
        <v>37</v>
      </c>
      <c r="U34" s="7"/>
      <c r="V34" s="3" t="n">
        <v>2</v>
      </c>
      <c r="W34" s="4"/>
      <c r="X34" s="4"/>
      <c r="Y34" s="3"/>
      <c r="Z34" s="3" t="s">
        <v>41</v>
      </c>
      <c r="AA34" s="3" t="n">
        <v>54.719370084</v>
      </c>
      <c r="AB34" s="3" t="n">
        <v>25.217064682</v>
      </c>
      <c r="AC34" s="3"/>
    </row>
    <row r="35" customFormat="false" ht="15" hidden="false" customHeight="false" outlineLevel="0" collapsed="false">
      <c r="A35" s="3" t="s">
        <v>212</v>
      </c>
      <c r="B35" s="3" t="s">
        <v>213</v>
      </c>
      <c r="C35" s="3" t="s">
        <v>213</v>
      </c>
      <c r="D35" s="3" t="s">
        <v>32</v>
      </c>
      <c r="E35" s="4" t="s">
        <v>214</v>
      </c>
      <c r="F35" s="5" t="s">
        <v>215</v>
      </c>
      <c r="G35" s="6"/>
      <c r="H35" s="6"/>
      <c r="I35" s="6"/>
      <c r="J35" s="6"/>
      <c r="K35" s="6"/>
      <c r="L35" s="6"/>
      <c r="M35" s="6"/>
      <c r="N35" s="6"/>
      <c r="O35" s="6"/>
      <c r="P35" s="7"/>
      <c r="Q35" s="7"/>
      <c r="R35" s="8"/>
      <c r="S35" s="6"/>
      <c r="T35" s="6" t="s">
        <v>37</v>
      </c>
      <c r="U35" s="7"/>
      <c r="V35" s="3" t="n">
        <v>2</v>
      </c>
      <c r="W35" s="4"/>
      <c r="X35" s="4"/>
      <c r="Y35" s="3"/>
      <c r="Z35" s="3" t="s">
        <v>41</v>
      </c>
      <c r="AA35" s="3" t="n">
        <v>54.696168225</v>
      </c>
      <c r="AB35" s="3" t="n">
        <v>25.256752372</v>
      </c>
      <c r="AC35" s="3"/>
    </row>
    <row r="36" customFormat="false" ht="15" hidden="false" customHeight="false" outlineLevel="0" collapsed="false">
      <c r="A36" s="3" t="s">
        <v>216</v>
      </c>
      <c r="B36" s="3" t="s">
        <v>217</v>
      </c>
      <c r="C36" s="3" t="s">
        <v>218</v>
      </c>
      <c r="D36" s="3" t="s">
        <v>32</v>
      </c>
      <c r="E36" s="4" t="s">
        <v>219</v>
      </c>
      <c r="F36" s="5" t="s">
        <v>220</v>
      </c>
      <c r="G36" s="6"/>
      <c r="H36" s="6"/>
      <c r="I36" s="6"/>
      <c r="J36" s="6"/>
      <c r="K36" s="6"/>
      <c r="L36" s="6"/>
      <c r="M36" s="6"/>
      <c r="N36" s="6"/>
      <c r="O36" s="6"/>
      <c r="P36" s="7"/>
      <c r="Q36" s="7"/>
      <c r="R36" s="8"/>
      <c r="S36" s="6"/>
      <c r="T36" s="6" t="s">
        <v>37</v>
      </c>
      <c r="U36" s="7"/>
      <c r="V36" s="3" t="n">
        <v>2</v>
      </c>
      <c r="W36" s="4"/>
      <c r="X36" s="4"/>
      <c r="Y36" s="3"/>
      <c r="Z36" s="3" t="s">
        <v>41</v>
      </c>
      <c r="AA36" s="3" t="n">
        <v>54.709189884</v>
      </c>
      <c r="AB36" s="3" t="n">
        <v>25.248805942</v>
      </c>
      <c r="AC36" s="3"/>
    </row>
    <row r="37" customFormat="false" ht="23.85" hidden="false" customHeight="false" outlineLevel="0" collapsed="false">
      <c r="A37" s="3" t="s">
        <v>221</v>
      </c>
      <c r="B37" s="3" t="s">
        <v>222</v>
      </c>
      <c r="C37" s="3" t="s">
        <v>223</v>
      </c>
      <c r="D37" s="3" t="s">
        <v>32</v>
      </c>
      <c r="E37" s="4" t="s">
        <v>224</v>
      </c>
      <c r="F37" s="5" t="s">
        <v>225</v>
      </c>
      <c r="G37" s="6"/>
      <c r="H37" s="6"/>
      <c r="I37" s="6"/>
      <c r="J37" s="6"/>
      <c r="K37" s="6"/>
      <c r="L37" s="6"/>
      <c r="M37" s="6"/>
      <c r="N37" s="6"/>
      <c r="O37" s="6"/>
      <c r="P37" s="7"/>
      <c r="Q37" s="7"/>
      <c r="R37" s="8"/>
      <c r="S37" s="6"/>
      <c r="T37" s="6" t="s">
        <v>37</v>
      </c>
      <c r="U37" s="7"/>
      <c r="V37" s="3" t="n">
        <v>2</v>
      </c>
      <c r="W37" s="4" t="s">
        <v>226</v>
      </c>
      <c r="X37" s="4" t="s">
        <v>227</v>
      </c>
      <c r="Y37" s="3" t="s">
        <v>228</v>
      </c>
      <c r="Z37" s="3" t="s">
        <v>41</v>
      </c>
      <c r="AA37" s="3" t="n">
        <v>54.695434057</v>
      </c>
      <c r="AB37" s="3" t="n">
        <v>25.398415943</v>
      </c>
      <c r="AC37" s="3"/>
    </row>
    <row r="38" customFormat="false" ht="23.85" hidden="false" customHeight="false" outlineLevel="0" collapsed="false">
      <c r="A38" s="3" t="s">
        <v>229</v>
      </c>
      <c r="B38" s="3" t="s">
        <v>230</v>
      </c>
      <c r="C38" s="3" t="s">
        <v>231</v>
      </c>
      <c r="D38" s="3" t="s">
        <v>32</v>
      </c>
      <c r="E38" s="4" t="s">
        <v>232</v>
      </c>
      <c r="F38" s="5" t="s">
        <v>233</v>
      </c>
      <c r="G38" s="6"/>
      <c r="H38" s="6"/>
      <c r="I38" s="6"/>
      <c r="J38" s="6"/>
      <c r="K38" s="6"/>
      <c r="L38" s="6"/>
      <c r="M38" s="6"/>
      <c r="N38" s="6"/>
      <c r="O38" s="6"/>
      <c r="P38" s="7"/>
      <c r="Q38" s="7"/>
      <c r="R38" s="8"/>
      <c r="S38" s="6"/>
      <c r="T38" s="6" t="s">
        <v>37</v>
      </c>
      <c r="U38" s="7"/>
      <c r="V38" s="3" t="n">
        <v>2</v>
      </c>
      <c r="W38" s="4" t="s">
        <v>234</v>
      </c>
      <c r="X38" s="4"/>
      <c r="Y38" s="3" t="s">
        <v>235</v>
      </c>
      <c r="Z38" s="3" t="s">
        <v>49</v>
      </c>
      <c r="AA38" s="3"/>
      <c r="AB38" s="3"/>
      <c r="AC38" s="3"/>
    </row>
    <row r="39" customFormat="false" ht="23.85" hidden="false" customHeight="false" outlineLevel="0" collapsed="false">
      <c r="A39" s="3" t="s">
        <v>236</v>
      </c>
      <c r="B39" s="3" t="s">
        <v>237</v>
      </c>
      <c r="C39" s="3" t="s">
        <v>231</v>
      </c>
      <c r="D39" s="3" t="s">
        <v>32</v>
      </c>
      <c r="E39" s="4" t="s">
        <v>238</v>
      </c>
      <c r="F39" s="5" t="s">
        <v>239</v>
      </c>
      <c r="G39" s="6"/>
      <c r="H39" s="6"/>
      <c r="I39" s="6"/>
      <c r="J39" s="6"/>
      <c r="K39" s="6"/>
      <c r="L39" s="6"/>
      <c r="M39" s="6"/>
      <c r="N39" s="6"/>
      <c r="O39" s="6"/>
      <c r="P39" s="7"/>
      <c r="Q39" s="7"/>
      <c r="R39" s="8"/>
      <c r="S39" s="6"/>
      <c r="T39" s="6" t="s">
        <v>37</v>
      </c>
      <c r="U39" s="7"/>
      <c r="V39" s="3" t="n">
        <v>2</v>
      </c>
      <c r="W39" s="4" t="s">
        <v>234</v>
      </c>
      <c r="X39" s="4"/>
      <c r="Y39" s="3" t="s">
        <v>235</v>
      </c>
      <c r="Z39" s="3" t="s">
        <v>49</v>
      </c>
      <c r="AA39" s="3"/>
      <c r="AB39" s="3"/>
      <c r="AC39" s="3"/>
    </row>
    <row r="40" customFormat="false" ht="15" hidden="false" customHeight="false" outlineLevel="0" collapsed="false">
      <c r="A40" s="3" t="s">
        <v>240</v>
      </c>
      <c r="B40" s="3" t="s">
        <v>241</v>
      </c>
      <c r="C40" s="3" t="s">
        <v>242</v>
      </c>
      <c r="D40" s="3" t="s">
        <v>32</v>
      </c>
      <c r="E40" s="4" t="s">
        <v>243</v>
      </c>
      <c r="F40" s="5" t="s">
        <v>244</v>
      </c>
      <c r="G40" s="6"/>
      <c r="H40" s="6"/>
      <c r="I40" s="6"/>
      <c r="J40" s="6"/>
      <c r="K40" s="6"/>
      <c r="L40" s="6"/>
      <c r="M40" s="6"/>
      <c r="N40" s="6"/>
      <c r="O40" s="6"/>
      <c r="P40" s="7"/>
      <c r="Q40" s="7"/>
      <c r="R40" s="8"/>
      <c r="S40" s="6"/>
      <c r="T40" s="6" t="s">
        <v>37</v>
      </c>
      <c r="U40" s="7"/>
      <c r="V40" s="3" t="n">
        <v>2</v>
      </c>
      <c r="W40" s="4"/>
      <c r="X40" s="4"/>
      <c r="Y40" s="3"/>
      <c r="Z40" s="3" t="s">
        <v>41</v>
      </c>
      <c r="AA40" s="3" t="n">
        <v>54.665158892</v>
      </c>
      <c r="AB40" s="3" t="n">
        <v>25.272180385</v>
      </c>
      <c r="AC40" s="3"/>
    </row>
    <row r="41" customFormat="false" ht="15" hidden="false" customHeight="false" outlineLevel="0" collapsed="false">
      <c r="A41" s="3" t="s">
        <v>245</v>
      </c>
      <c r="B41" s="3" t="s">
        <v>246</v>
      </c>
      <c r="C41" s="3" t="s">
        <v>247</v>
      </c>
      <c r="D41" s="3" t="s">
        <v>32</v>
      </c>
      <c r="E41" s="4" t="s">
        <v>248</v>
      </c>
      <c r="F41" s="5" t="s">
        <v>249</v>
      </c>
      <c r="G41" s="6"/>
      <c r="H41" s="6"/>
      <c r="I41" s="6"/>
      <c r="J41" s="6"/>
      <c r="K41" s="6"/>
      <c r="L41" s="6"/>
      <c r="M41" s="6"/>
      <c r="N41" s="6"/>
      <c r="O41" s="6"/>
      <c r="P41" s="7"/>
      <c r="Q41" s="7"/>
      <c r="R41" s="8"/>
      <c r="S41" s="6"/>
      <c r="T41" s="6" t="s">
        <v>37</v>
      </c>
      <c r="U41" s="7"/>
      <c r="V41" s="3" t="n">
        <v>2</v>
      </c>
      <c r="W41" s="4"/>
      <c r="X41" s="4"/>
      <c r="Y41" s="3"/>
      <c r="Z41" s="3" t="s">
        <v>41</v>
      </c>
      <c r="AA41" s="3" t="n">
        <v>54.694585158</v>
      </c>
      <c r="AB41" s="3" t="n">
        <v>25.226204564</v>
      </c>
      <c r="AC41" s="3"/>
    </row>
    <row r="42" customFormat="false" ht="15" hidden="false" customHeight="false" outlineLevel="0" collapsed="false">
      <c r="A42" s="3" t="s">
        <v>250</v>
      </c>
      <c r="B42" s="3" t="s">
        <v>251</v>
      </c>
      <c r="C42" s="3" t="s">
        <v>252</v>
      </c>
      <c r="D42" s="3" t="s">
        <v>253</v>
      </c>
      <c r="E42" s="4" t="s">
        <v>254</v>
      </c>
      <c r="F42" s="5" t="s">
        <v>255</v>
      </c>
      <c r="G42" s="6"/>
      <c r="H42" s="6"/>
      <c r="I42" s="6"/>
      <c r="J42" s="6"/>
      <c r="K42" s="6"/>
      <c r="L42" s="6"/>
      <c r="M42" s="6"/>
      <c r="N42" s="6"/>
      <c r="O42" s="6"/>
      <c r="P42" s="7"/>
      <c r="Q42" s="7"/>
      <c r="R42" s="8"/>
      <c r="S42" s="6"/>
      <c r="T42" s="6" t="s">
        <v>37</v>
      </c>
      <c r="U42" s="7"/>
      <c r="V42" s="3" t="n">
        <v>2</v>
      </c>
      <c r="W42" s="4" t="s">
        <v>256</v>
      </c>
      <c r="X42" s="4"/>
      <c r="Y42" s="3"/>
      <c r="Z42" s="3" t="s">
        <v>41</v>
      </c>
      <c r="AA42" s="3" t="n">
        <v>54.672181093</v>
      </c>
      <c r="AB42" s="3" t="n">
        <v>25.241452623</v>
      </c>
      <c r="AC42" s="3"/>
    </row>
    <row r="43" customFormat="false" ht="35.05" hidden="false" customHeight="false" outlineLevel="0" collapsed="false">
      <c r="A43" s="3" t="s">
        <v>257</v>
      </c>
      <c r="B43" s="3" t="s">
        <v>258</v>
      </c>
      <c r="C43" s="3" t="s">
        <v>259</v>
      </c>
      <c r="D43" s="3" t="s">
        <v>253</v>
      </c>
      <c r="E43" s="4" t="s">
        <v>260</v>
      </c>
      <c r="F43" s="5" t="s">
        <v>261</v>
      </c>
      <c r="G43" s="6"/>
      <c r="H43" s="6"/>
      <c r="I43" s="6"/>
      <c r="J43" s="6"/>
      <c r="K43" s="6"/>
      <c r="L43" s="6"/>
      <c r="M43" s="6"/>
      <c r="N43" s="6"/>
      <c r="O43" s="6"/>
      <c r="P43" s="7"/>
      <c r="Q43" s="7"/>
      <c r="R43" s="8"/>
      <c r="S43" s="6"/>
      <c r="T43" s="6" t="s">
        <v>37</v>
      </c>
      <c r="U43" s="7"/>
      <c r="V43" s="3" t="n">
        <v>2</v>
      </c>
      <c r="W43" s="4" t="s">
        <v>262</v>
      </c>
      <c r="X43" s="4" t="s">
        <v>263</v>
      </c>
      <c r="Y43" s="3" t="s">
        <v>264</v>
      </c>
      <c r="Z43" s="3" t="s">
        <v>41</v>
      </c>
      <c r="AA43" s="3" t="n">
        <v>54.74219167</v>
      </c>
      <c r="AB43" s="3" t="n">
        <v>25.277544652</v>
      </c>
      <c r="AC43" s="3"/>
    </row>
    <row r="44" customFormat="false" ht="35.05" hidden="false" customHeight="false" outlineLevel="0" collapsed="false">
      <c r="A44" s="3" t="s">
        <v>265</v>
      </c>
      <c r="B44" s="3" t="s">
        <v>266</v>
      </c>
      <c r="C44" s="3" t="s">
        <v>231</v>
      </c>
      <c r="D44" s="3" t="s">
        <v>253</v>
      </c>
      <c r="E44" s="4" t="s">
        <v>267</v>
      </c>
      <c r="F44" s="5" t="s">
        <v>268</v>
      </c>
      <c r="G44" s="6"/>
      <c r="H44" s="6"/>
      <c r="I44" s="6"/>
      <c r="J44" s="6"/>
      <c r="K44" s="6"/>
      <c r="L44" s="6"/>
      <c r="M44" s="6"/>
      <c r="N44" s="6"/>
      <c r="O44" s="6"/>
      <c r="P44" s="7"/>
      <c r="Q44" s="7"/>
      <c r="R44" s="8"/>
      <c r="S44" s="6"/>
      <c r="T44" s="6" t="s">
        <v>37</v>
      </c>
      <c r="U44" s="7"/>
      <c r="V44" s="3" t="n">
        <v>2</v>
      </c>
      <c r="W44" s="4" t="s">
        <v>269</v>
      </c>
      <c r="X44" s="4"/>
      <c r="Y44" s="3" t="s">
        <v>235</v>
      </c>
      <c r="Z44" s="3" t="s">
        <v>41</v>
      </c>
      <c r="AA44" s="3" t="n">
        <v>54.697689847</v>
      </c>
      <c r="AB44" s="3" t="n">
        <v>25.249507654</v>
      </c>
      <c r="AC44" s="3"/>
    </row>
    <row r="45" customFormat="false" ht="15" hidden="false" customHeight="false" outlineLevel="0" collapsed="false">
      <c r="A45" s="3" t="s">
        <v>270</v>
      </c>
      <c r="B45" s="3" t="s">
        <v>271</v>
      </c>
      <c r="C45" s="3" t="s">
        <v>272</v>
      </c>
      <c r="D45" s="3" t="s">
        <v>253</v>
      </c>
      <c r="E45" s="4" t="s">
        <v>273</v>
      </c>
      <c r="F45" s="5" t="s">
        <v>274</v>
      </c>
      <c r="G45" s="6"/>
      <c r="H45" s="6"/>
      <c r="I45" s="6"/>
      <c r="J45" s="6"/>
      <c r="K45" s="6"/>
      <c r="L45" s="6"/>
      <c r="M45" s="6"/>
      <c r="N45" s="6"/>
      <c r="O45" s="6"/>
      <c r="P45" s="7"/>
      <c r="Q45" s="7"/>
      <c r="R45" s="8"/>
      <c r="S45" s="6"/>
      <c r="T45" s="6" t="s">
        <v>37</v>
      </c>
      <c r="U45" s="7"/>
      <c r="V45" s="3" t="n">
        <v>3</v>
      </c>
      <c r="W45" s="4"/>
      <c r="X45" s="4"/>
      <c r="Y45" s="3"/>
      <c r="Z45" s="3" t="s">
        <v>41</v>
      </c>
      <c r="AA45" s="3" t="n">
        <v>54.674919155</v>
      </c>
      <c r="AB45" s="3" t="n">
        <v>25.224045791</v>
      </c>
      <c r="AC45" s="3"/>
    </row>
    <row r="46" customFormat="false" ht="15" hidden="false" customHeight="false" outlineLevel="0" collapsed="false">
      <c r="A46" s="3" t="s">
        <v>275</v>
      </c>
      <c r="B46" s="3" t="s">
        <v>276</v>
      </c>
      <c r="C46" s="3" t="s">
        <v>277</v>
      </c>
      <c r="D46" s="3" t="s">
        <v>253</v>
      </c>
      <c r="E46" s="4" t="s">
        <v>278</v>
      </c>
      <c r="F46" s="5" t="s">
        <v>279</v>
      </c>
      <c r="G46" s="6"/>
      <c r="H46" s="6"/>
      <c r="I46" s="6"/>
      <c r="J46" s="6"/>
      <c r="K46" s="6"/>
      <c r="L46" s="6"/>
      <c r="M46" s="6"/>
      <c r="N46" s="6"/>
      <c r="O46" s="6"/>
      <c r="P46" s="7"/>
      <c r="Q46" s="7"/>
      <c r="R46" s="8"/>
      <c r="S46" s="6"/>
      <c r="T46" s="6" t="s">
        <v>37</v>
      </c>
      <c r="U46" s="7"/>
      <c r="V46" s="3" t="n">
        <v>3</v>
      </c>
      <c r="W46" s="4"/>
      <c r="X46" s="4"/>
      <c r="Y46" s="3"/>
      <c r="Z46" s="3" t="s">
        <v>41</v>
      </c>
      <c r="AA46" s="3" t="n">
        <v>54.703101434</v>
      </c>
      <c r="AB46" s="3" t="n">
        <v>25.274329643</v>
      </c>
      <c r="AC46" s="3"/>
    </row>
    <row r="47" customFormat="false" ht="15" hidden="false" customHeight="false" outlineLevel="0" collapsed="false">
      <c r="A47" s="3" t="s">
        <v>280</v>
      </c>
      <c r="B47" s="3" t="s">
        <v>281</v>
      </c>
      <c r="C47" s="3" t="s">
        <v>282</v>
      </c>
      <c r="D47" s="3" t="s">
        <v>253</v>
      </c>
      <c r="E47" s="4" t="s">
        <v>273</v>
      </c>
      <c r="F47" s="5" t="s">
        <v>283</v>
      </c>
      <c r="G47" s="6"/>
      <c r="H47" s="6"/>
      <c r="I47" s="6"/>
      <c r="J47" s="6"/>
      <c r="K47" s="6"/>
      <c r="L47" s="6"/>
      <c r="M47" s="6"/>
      <c r="N47" s="6"/>
      <c r="O47" s="6"/>
      <c r="P47" s="7"/>
      <c r="Q47" s="7"/>
      <c r="R47" s="8"/>
      <c r="S47" s="6"/>
      <c r="T47" s="6" t="s">
        <v>37</v>
      </c>
      <c r="U47" s="7"/>
      <c r="V47" s="3" t="n">
        <v>3</v>
      </c>
      <c r="W47" s="4"/>
      <c r="X47" s="4"/>
      <c r="Y47" s="3"/>
      <c r="Z47" s="3" t="s">
        <v>41</v>
      </c>
      <c r="AA47" s="3" t="n">
        <v>54.674919155</v>
      </c>
      <c r="AB47" s="3" t="n">
        <v>25.224045791</v>
      </c>
      <c r="AC47" s="3"/>
    </row>
    <row r="48" customFormat="false" ht="15" hidden="false" customHeight="false" outlineLevel="0" collapsed="false">
      <c r="A48" s="3" t="s">
        <v>284</v>
      </c>
      <c r="B48" s="3" t="s">
        <v>285</v>
      </c>
      <c r="C48" s="3" t="s">
        <v>286</v>
      </c>
      <c r="D48" s="3" t="s">
        <v>253</v>
      </c>
      <c r="E48" s="4" t="s">
        <v>287</v>
      </c>
      <c r="F48" s="5" t="s">
        <v>288</v>
      </c>
      <c r="G48" s="6"/>
      <c r="H48" s="6"/>
      <c r="I48" s="6"/>
      <c r="J48" s="6"/>
      <c r="K48" s="6"/>
      <c r="L48" s="6"/>
      <c r="M48" s="6"/>
      <c r="N48" s="6"/>
      <c r="O48" s="6"/>
      <c r="P48" s="7"/>
      <c r="Q48" s="7"/>
      <c r="R48" s="8"/>
      <c r="S48" s="6"/>
      <c r="T48" s="6" t="s">
        <v>37</v>
      </c>
      <c r="U48" s="7"/>
      <c r="V48" s="3" t="n">
        <v>3</v>
      </c>
      <c r="W48" s="4"/>
      <c r="X48" s="4"/>
      <c r="Y48" s="3"/>
      <c r="Z48" s="3" t="s">
        <v>41</v>
      </c>
      <c r="AA48" s="3" t="n">
        <v>54.790326043</v>
      </c>
      <c r="AB48" s="3" t="n">
        <v>25.350747243</v>
      </c>
      <c r="AC48" s="3"/>
    </row>
  </sheetData>
  <autoFilter ref="A1:AC48"/>
  <dataValidations count="3">
    <dataValidation allowBlank="true" errorStyle="stop" operator="between" showDropDown="false" showErrorMessage="false" showInputMessage="false" sqref="N2:O88" type="list">
      <formula1>"yes,no"</formula1>
      <formula2>0</formula2>
    </dataValidation>
    <dataValidation allowBlank="true" errorStyle="stop" operator="between" showDropDown="false" showErrorMessage="false" showInputMessage="false" sqref="T2:T88" type="list">
      <formula1>"to call,reached,no answer,closed down,wrong number"</formula1>
      <formula2>0</formula2>
    </dataValidation>
    <dataValidation allowBlank="true" errorStyle="stop" operator="between" showDropDown="false" showErrorMessage="false" showInputMessage="false" sqref="D2:D88" type="list">
      <formula1>"vet_clinic,vet_pharmacy"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7.35" hidden="false" customHeight="false" outlineLevel="0" collapsed="false">
      <c r="A1" s="9" t="s">
        <v>289</v>
      </c>
    </row>
    <row r="2" customFormat="false" ht="15" hidden="false" customHeight="true" outlineLevel="0" collapsed="false">
      <c r="A2" s="10" t="s">
        <v>290</v>
      </c>
      <c r="B2" s="10"/>
    </row>
    <row r="4" customFormat="false" ht="15" hidden="false" customHeight="false" outlineLevel="0" collapsed="false">
      <c r="A4" s="11" t="s">
        <v>291</v>
      </c>
    </row>
    <row r="5" customFormat="false" ht="15" hidden="false" customHeight="false" outlineLevel="0" collapsed="false">
      <c r="A5" s="12" t="s">
        <v>292</v>
      </c>
      <c r="B5" s="12" t="n">
        <f aca="false">COUNTA(Vets!A2:A500)</f>
        <v>47</v>
      </c>
    </row>
    <row r="6" customFormat="false" ht="15" hidden="false" customHeight="false" outlineLevel="0" collapsed="false">
      <c r="A6" s="12" t="s">
        <v>293</v>
      </c>
      <c r="B6" s="12" t="n">
        <f aca="false">COUNT(Vets!R2:R500)</f>
        <v>0</v>
      </c>
    </row>
    <row r="7" customFormat="false" ht="15" hidden="false" customHeight="false" outlineLevel="0" collapsed="false">
      <c r="A7" s="12" t="s">
        <v>294</v>
      </c>
      <c r="B7" s="12" t="n">
        <f aca="false">B5-B6</f>
        <v>47</v>
      </c>
    </row>
    <row r="8" customFormat="false" ht="15" hidden="false" customHeight="false" outlineLevel="0" collapsed="false">
      <c r="A8" s="12" t="s">
        <v>295</v>
      </c>
      <c r="B8" s="12" t="s">
        <v>296</v>
      </c>
    </row>
    <row r="10" customFormat="false" ht="15" hidden="false" customHeight="false" outlineLevel="0" collapsed="false">
      <c r="A10" s="11" t="s">
        <v>297</v>
      </c>
    </row>
    <row r="11" customFormat="false" ht="15" hidden="false" customHeight="false" outlineLevel="0" collapsed="false">
      <c r="A11" s="12" t="s">
        <v>298</v>
      </c>
      <c r="B11" s="12" t="s">
        <v>299</v>
      </c>
    </row>
    <row r="12" customFormat="false" ht="23.85" hidden="false" customHeight="false" outlineLevel="0" collapsed="false">
      <c r="A12" s="12" t="s">
        <v>300</v>
      </c>
      <c r="B12" s="12" t="s">
        <v>301</v>
      </c>
    </row>
    <row r="13" customFormat="false" ht="15" hidden="false" customHeight="false" outlineLevel="0" collapsed="false">
      <c r="A13" s="12" t="s">
        <v>13</v>
      </c>
      <c r="B13" s="12" t="s">
        <v>302</v>
      </c>
    </row>
    <row r="14" customFormat="false" ht="15" hidden="false" customHeight="false" outlineLevel="0" collapsed="false">
      <c r="A14" s="12" t="s">
        <v>14</v>
      </c>
      <c r="B14" s="12" t="s">
        <v>303</v>
      </c>
    </row>
    <row r="15" customFormat="false" ht="15" hidden="false" customHeight="false" outlineLevel="0" collapsed="false">
      <c r="A15" s="12" t="s">
        <v>15</v>
      </c>
      <c r="B15" s="12" t="s">
        <v>304</v>
      </c>
    </row>
    <row r="16" customFormat="false" ht="15" hidden="false" customHeight="false" outlineLevel="0" collapsed="false">
      <c r="A16" s="12" t="s">
        <v>16</v>
      </c>
      <c r="B16" s="12" t="s">
        <v>305</v>
      </c>
    </row>
    <row r="17" customFormat="false" ht="23.85" hidden="false" customHeight="false" outlineLevel="0" collapsed="false">
      <c r="A17" s="12" t="s">
        <v>17</v>
      </c>
      <c r="B17" s="12" t="s">
        <v>306</v>
      </c>
    </row>
    <row r="18" customFormat="false" ht="15" hidden="false" customHeight="false" outlineLevel="0" collapsed="false">
      <c r="A18" s="12" t="s">
        <v>18</v>
      </c>
      <c r="B18" s="12" t="s">
        <v>307</v>
      </c>
    </row>
    <row r="19" customFormat="false" ht="15" hidden="false" customHeight="false" outlineLevel="0" collapsed="false">
      <c r="A19" s="12" t="s">
        <v>19</v>
      </c>
      <c r="B19" s="12" t="s">
        <v>308</v>
      </c>
    </row>
    <row r="20" customFormat="false" ht="15" hidden="false" customHeight="false" outlineLevel="0" collapsed="false">
      <c r="A20" s="12" t="s">
        <v>20</v>
      </c>
      <c r="B20" s="12" t="s">
        <v>309</v>
      </c>
    </row>
    <row r="21" customFormat="false" ht="23.85" hidden="false" customHeight="false" outlineLevel="0" collapsed="false">
      <c r="A21" s="12" t="s">
        <v>310</v>
      </c>
      <c r="B21" s="12" t="s">
        <v>311</v>
      </c>
    </row>
    <row r="22" customFormat="false" ht="15" hidden="false" customHeight="false" outlineLevel="0" collapsed="false">
      <c r="A22" s="12" t="s">
        <v>21</v>
      </c>
      <c r="B22" s="12" t="s">
        <v>312</v>
      </c>
    </row>
    <row r="23" customFormat="false" ht="15" hidden="false" customHeight="false" outlineLevel="0" collapsed="false">
      <c r="A23" s="12" t="s">
        <v>22</v>
      </c>
      <c r="B23" s="12" t="s">
        <v>313</v>
      </c>
    </row>
    <row r="24" customFormat="false" ht="23.85" hidden="false" customHeight="false" outlineLevel="0" collapsed="false">
      <c r="A24" s="12" t="s">
        <v>28</v>
      </c>
      <c r="B24" s="12" t="s">
        <v>314</v>
      </c>
    </row>
    <row r="26" customFormat="false" ht="15" hidden="false" customHeight="false" outlineLevel="0" collapsed="false">
      <c r="A26" s="11" t="s">
        <v>315</v>
      </c>
    </row>
    <row r="27" customFormat="false" ht="46.25" hidden="false" customHeight="false" outlineLevel="0" collapsed="false">
      <c r="A27" s="12" t="s">
        <v>316</v>
      </c>
      <c r="B27" s="12" t="s">
        <v>317</v>
      </c>
    </row>
    <row r="28" customFormat="false" ht="46.25" hidden="false" customHeight="false" outlineLevel="0" collapsed="false">
      <c r="A28" s="12" t="s">
        <v>318</v>
      </c>
      <c r="B28" s="12" t="s">
        <v>319</v>
      </c>
    </row>
    <row r="29" customFormat="false" ht="23.85" hidden="false" customHeight="false" outlineLevel="0" collapsed="false">
      <c r="A29" s="12" t="s">
        <v>320</v>
      </c>
      <c r="B29" s="12" t="s">
        <v>321</v>
      </c>
    </row>
    <row r="31" customFormat="false" ht="15" hidden="false" customHeight="false" outlineLevel="0" collapsed="false">
      <c r="A31" s="11" t="s">
        <v>322</v>
      </c>
    </row>
    <row r="32" customFormat="false" ht="15" hidden="false" customHeight="false" outlineLevel="0" collapsed="false">
      <c r="A32" s="12" t="s">
        <v>1</v>
      </c>
      <c r="B32" s="12" t="s">
        <v>323</v>
      </c>
    </row>
    <row r="33" customFormat="false" ht="15" hidden="false" customHeight="false" outlineLevel="0" collapsed="false">
      <c r="A33" s="12" t="s">
        <v>324</v>
      </c>
      <c r="B33" s="12" t="s">
        <v>325</v>
      </c>
    </row>
    <row r="34" customFormat="false" ht="15" hidden="false" customHeight="false" outlineLevel="0" collapsed="false">
      <c r="A34" s="12" t="s">
        <v>11</v>
      </c>
      <c r="B34" s="12" t="s">
        <v>326</v>
      </c>
    </row>
    <row r="35" customFormat="false" ht="15" hidden="false" customHeight="false" outlineLevel="0" collapsed="false">
      <c r="A35" s="12" t="s">
        <v>12</v>
      </c>
      <c r="B35" s="12" t="s">
        <v>327</v>
      </c>
    </row>
    <row r="36" customFormat="false" ht="15" hidden="false" customHeight="false" outlineLevel="0" collapsed="false">
      <c r="A36" s="12" t="s">
        <v>13</v>
      </c>
      <c r="B36" s="12" t="s">
        <v>36</v>
      </c>
    </row>
    <row r="37" customFormat="false" ht="15" hidden="false" customHeight="false" outlineLevel="0" collapsed="false">
      <c r="A37" s="12" t="s">
        <v>14</v>
      </c>
      <c r="B37" s="12" t="s">
        <v>36</v>
      </c>
    </row>
    <row r="38" customFormat="false" ht="15" hidden="false" customHeight="false" outlineLevel="0" collapsed="false">
      <c r="A38" s="12" t="s">
        <v>15</v>
      </c>
      <c r="B38" s="12" t="s">
        <v>328</v>
      </c>
    </row>
    <row r="39" customFormat="false" ht="15" hidden="false" customHeight="false" outlineLevel="0" collapsed="false">
      <c r="A39" s="12" t="s">
        <v>16</v>
      </c>
      <c r="B39" s="12" t="s">
        <v>329</v>
      </c>
    </row>
    <row r="40" customFormat="false" ht="15" hidden="false" customHeight="false" outlineLevel="0" collapsed="false">
      <c r="A40" s="12" t="s">
        <v>17</v>
      </c>
      <c r="B40" s="12" t="s">
        <v>330</v>
      </c>
    </row>
    <row r="41" customFormat="false" ht="15" hidden="false" customHeight="false" outlineLevel="0" collapsed="false">
      <c r="A41" s="12" t="s">
        <v>18</v>
      </c>
      <c r="B41" s="12" t="s">
        <v>331</v>
      </c>
    </row>
    <row r="42" customFormat="false" ht="15" hidden="false" customHeight="false" outlineLevel="0" collapsed="false">
      <c r="A42" s="12" t="s">
        <v>19</v>
      </c>
      <c r="B42" s="12" t="s">
        <v>332</v>
      </c>
    </row>
    <row r="44" customFormat="false" ht="15" hidden="false" customHeight="false" outlineLevel="0" collapsed="false">
      <c r="A44" s="11" t="s">
        <v>333</v>
      </c>
    </row>
    <row r="45" customFormat="false" ht="57.45" hidden="false" customHeight="false" outlineLevel="0" collapsed="false">
      <c r="A45" s="12" t="s">
        <v>334</v>
      </c>
      <c r="B45" s="12" t="s">
        <v>335</v>
      </c>
    </row>
    <row r="46" customFormat="false" ht="15" hidden="false" customHeight="false" outlineLevel="0" collapsed="false">
      <c r="A46" s="12" t="s">
        <v>336</v>
      </c>
      <c r="B46" s="12" t="s">
        <v>337</v>
      </c>
    </row>
    <row r="47" customFormat="false" ht="35.05" hidden="false" customHeight="false" outlineLevel="0" collapsed="false">
      <c r="A47" s="12" t="s">
        <v>338</v>
      </c>
      <c r="B47" s="12" t="s">
        <v>339</v>
      </c>
    </row>
    <row r="48" customFormat="false" ht="23.85" hidden="false" customHeight="false" outlineLevel="0" collapsed="false">
      <c r="A48" s="12" t="s">
        <v>340</v>
      </c>
      <c r="B48" s="12" t="s">
        <v>341</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2026-10-10T14:39:52Z</dcterms:created>
  <dc:creator>openpyxl</dc:creator>
  <dc:description/>
  <dc:language>en-US</dc:language>
  <cp:lastModifiedBy/>
  <dcterms:modified xsi:type="dcterms:W3CDTF">2026-10-10T14:39:52Z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